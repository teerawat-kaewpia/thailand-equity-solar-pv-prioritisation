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99fb7ce89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1581bea43248c2"/>
    <x:sheet xmlns:r="http://schemas.openxmlformats.org/officeDocument/2006/relationships" name="Index_50_Districts" sheetId="2" r:id="Re195b44d657045c1"/>
    <x:sheet xmlns:r="http://schemas.openxmlformats.org/officeDocument/2006/relationships" name="Raw_Data" sheetId="3" r:id="R7b5546039f074a28"/>
    <x:sheet xmlns:r="http://schemas.openxmlformats.org/officeDocument/2006/relationships" name="Weights_Method" sheetId="4" r:id="R6db31a56da0742b3"/>
    <x:sheet xmlns:r="http://schemas.openxmlformats.org/officeDocument/2006/relationships" name="Data_Quality" sheetId="5" r:id="Rfc07f87925184d73"/>
    <x:sheet xmlns:r="http://schemas.openxmlformats.org/officeDocument/2006/relationships" name="GIS_Export" sheetId="6" r:id="R75675230a21e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#,##0"/>
    <x:numFmt numFmtId="202" formatCode="0.000"/>
    <x:numFmt numFmtId="203" formatCode="#,##0.00"/>
    <x:numFmt numFmtId="204" formatCode="0.00%"/>
    <x:numFmt numFmtId="205" formatCode="0"/>
    <x:numFmt numFmtId="206" formatCode="0%"/>
  </x:numFmts>
  <x:fonts count="11">
    <x:font>
      <x:sz val="11"/>
      <x:name val="Carlito"/>
    </x:font>
    <x:font>
      <x:b/>
      <x:sz val="18"/>
      <x:color rgb="FFFFFFFF"/>
      <x:name val="Tahoma"/>
    </x:font>
    <x:font>
      <x:i/>
      <x:sz val="10"/>
      <x:color rgb="FF17365D"/>
      <x:name val="Tahoma"/>
    </x:font>
    <x:font>
      <x:b/>
      <x:sz val="11"/>
      <x:color rgb="FFFFFFFF"/>
      <x:name val="Tahoma"/>
    </x:font>
    <x:font>
      <x:b/>
      <x:sz val="16"/>
      <x:color rgb="FF17365D"/>
      <x:name val="Tahoma"/>
    </x:font>
    <x:font>
      <x:b/>
      <x:sz val="10"/>
      <x:color rgb="FFFFFFFF"/>
      <x:name val="Tahoma"/>
    </x:font>
    <x:font>
      <x:sz val="10"/>
      <x:name val="Tahoma"/>
    </x:font>
    <x:font>
      <x:b/>
      <x:sz val="10"/>
      <x:color rgb="FF17365D"/>
      <x:name val="Tahoma"/>
    </x:font>
    <x:font>
      <x:b/>
      <x:sz val="10"/>
      <x:color rgb="FFC00000"/>
      <x:name val="Tahoma"/>
    </x:font>
    <x:font>
      <x:sz val="9"/>
      <x:name val="Tahoma"/>
    </x:font>
    <x:font>
      <x:i/>
      <x:sz val="10"/>
      <x:color rgb="FF666666"/>
      <x:name val="Tahoma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67"/>
      </x:patternFill>
    </x:fill>
    <x:fill>
      <x:patternFill patternType="solid">
        <x:fgColor rgb="FFFFFFFF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3" fontId="7" fillId="7" borderId="0" xfId="0" applyNumberFormat="1" applyFont="1" applyFill="1" applyBorder="1" applyAlignment="1">
      <x:alignment horizontal="center" vertical="center" wrapText="1"/>
    </x:xf>
    <x:xf numFmtId="203" fontId="7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5" fontId="9" fillId="0" borderId="0" xfId="0" applyNumberFormat="1" applyFont="1" applyFill="1" applyBorder="1"/>
    <x:xf numFmtId="205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3" fontId="9" fillId="0" borderId="0" xfId="0" applyNumberFormat="1" applyFont="1" applyFill="1" applyBorder="1"/>
    <x:xf numFmtId="203" fontId="9" fillId="0" borderId="1" xfId="0" applyNumberFormat="1" applyFont="1" applyFill="1" applyBorder="1"/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206" fontId="9" fillId="0" borderId="0" xfId="0" applyNumberFormat="1" applyFont="1" applyFill="1" applyBorder="1"/>
    <x:xf numFmtId="206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184342ba747f6" /><Relationship Type="http://schemas.openxmlformats.org/officeDocument/2006/relationships/theme" Target="/xl/theme/theme1.xml" Id="Rbd92b013331e4334" /><Relationship Type="http://schemas.openxmlformats.org/officeDocument/2006/relationships/sharedStrings" Target="/xl/sharedStrings.xml" Id="R03920b63efd14803" /><Relationship Type="http://schemas.openxmlformats.org/officeDocument/2006/relationships/worksheet" Target="/xl/worksheets/sheet1.xml" Id="Rc81581bea43248c2" /><Relationship Type="http://schemas.openxmlformats.org/officeDocument/2006/relationships/worksheet" Target="/xl/worksheets/sheet2.xml" Id="Re195b44d657045c1" /><Relationship Type="http://schemas.openxmlformats.org/officeDocument/2006/relationships/worksheet" Target="/xl/worksheets/sheet3.xml" Id="R7b5546039f074a28" /><Relationship Type="http://schemas.openxmlformats.org/officeDocument/2006/relationships/worksheet" Target="/xl/worksheets/sheet4.xml" Id="R6db31a56da0742b3" /><Relationship Type="http://schemas.openxmlformats.org/officeDocument/2006/relationships/worksheet" Target="/xl/worksheets/sheet5.xml" Id="Rfc07f87925184d73" /><Relationship Type="http://schemas.openxmlformats.org/officeDocument/2006/relationships/worksheet" Target="/xl/worksheets/sheet6.xml" Id="R75675230a21e41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2116b2ec0a45a1" /><Relationship Type="http://schemas.openxmlformats.org/officeDocument/2006/relationships/chart" Target="/xl/drawings/charts/chart2.xml" Id="R07cf94f1d64c42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คะแนนรวม 10 เขตสูงสุด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คะแนนรวม</c:v>
          </c:tx>
          <c:cat>
            <c:strRef>
              <c:f>'Dashboard'!$B$11:$B$20</c:f>
              <c:strCache>
                <c:ptCount val="0"/>
              </c:strCache>
            </c:strRef>
          </c:cat>
          <c:val>
            <c:numRef>
              <c:f>'Dashboard'!$C$11:$C$20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คะแนนรวม 10 เขตต่ำสุด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คะแนนรวม</c:v>
          </c:tx>
          <c:cat>
            <c:strRef>
              <c:f>'Dashboard'!$F$11:$F$20</c:f>
              <c:strCache>
                <c:ptCount val="0"/>
              </c:strCache>
            </c:strRef>
          </c:cat>
          <c:val>
            <c:numRef>
              <c:f>'Dashboard'!$G$11:$G$20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2116b2ec0a45a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cf94f1d64c42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IndexDistrictTable" displayName="IndexDistrictTable" ref="A1:X51" headerRowCount="1">
  <x:tableColumns count="24">
    <x:tableColumn id="1" name="อันดับ"/>
    <x:tableColumn id="2" name="เขต"/>
    <x:tableColumn id="3" name="คะแนนความยืดหยุ่นรวม"/>
    <x:tableColumn id="4" name="คะแนนศักยภาพเศรษฐกิจ"/>
    <x:tableColumn id="5" name="คะแนนความเปราะบาง"/>
    <x:tableColumn id="6" name="ระดับ"/>
    <x:tableColumn id="7" name="นิติบุคคลใหม่/1,000 บ้าน"/>
    <x:tableColumn id="8" name="ทุน/บ้าน (บาท)"/>
    <x:tableColumn id="9" name="ทุน/บ้าน Winsor P95"/>
    <x:tableColumn id="10" name="Business diversity"/>
    <x:tableColumn id="11" name="บ้าน/ตร.กม."/>
    <x:tableColumn id="12" name="ชุมชนแออัด (%)"/>
    <x:tableColumn id="13" name="คน/บ้าน"/>
    <x:tableColumn id="14" name="พื้นที่สีเขียว/คน (ตร.ม.)"/>
    <x:tableColumn id="15" name="เหตุสาธารณภัย/10,000 บ้าน"/>
    <x:tableColumn id="16" name="E1"/>
    <x:tableColumn id="17" name="E2"/>
    <x:tableColumn id="18" name="E3"/>
    <x:tableColumn id="19" name="E4"/>
    <x:tableColumn id="20" name="V1"/>
    <x:tableColumn id="21" name="V2"/>
    <x:tableColumn id="22" name="V3"/>
    <x:tableColumn id="23" name="V4"/>
    <x:tableColumn id="24" name="ความครบถ้วน"/>
  </x:tableColumns>
  <x:tableStyleInfo name="TableStyleMedium2" showRowStripes="1"/>
</x:table>
</file>

<file path=xl/tables/table2.xml><?xml version="1.0" encoding="utf-8"?>
<x:table xmlns:x="http://schemas.openxmlformats.org/spreadsheetml/2006/main" id="1" name="RawDataTable" displayName="RawDataTable" ref="A1:L51" headerRowCount="1">
  <x:tableColumns count="12">
    <x:tableColumn id="1" name="เขต"/>
    <x:tableColumn id="2" name="ประชากร (คน)"/>
    <x:tableColumn id="3" name="บ้าน (หลัง)"/>
    <x:tableColumn id="4" name="พื้นที่ (ตร.กม.)"/>
    <x:tableColumn id="5" name="ชุมชนทั้งหมด"/>
    <x:tableColumn id="6" name="ชุมชนแออัด"/>
    <x:tableColumn id="7" name="ประชากรในชุมชน"/>
    <x:tableColumn id="8" name="พื้นที่สีเขียวที่รายงาน (ตร.ม.)"/>
    <x:tableColumn id="9" name="เหตุสาธารณภัยรวม (ครั้ง)"/>
    <x:tableColumn id="10" name="นิติบุคคลตั้งใหม่ 2567 (ราย)"/>
    <x:tableColumn id="11" name="ทุนจดทะเบียนรวม (บาท)"/>
    <x:tableColumn id="12" name="Business diversity (Shannon normalized)"/>
  </x:tableColumns>
  <x:tableStyleInfo name="TableStyleMedium2" showRowStripes="1"/>
</x:table>
</file>

<file path=xl/tables/table3.xml><?xml version="1.0" encoding="utf-8"?>
<x:table xmlns:x="http://schemas.openxmlformats.org/spreadsheetml/2006/main" id="3" name="GISExportTable" displayName="GISExportTable" ref="A1:J51" headerRowCount="1">
  <x:tableColumns count="10">
    <x:tableColumn id="1" name="district_th"/>
    <x:tableColumn id="2" name="district_join_name"/>
    <x:tableColumn id="3" name="rank_current"/>
    <x:tableColumn id="4" name="resilience_score_current"/>
    <x:tableColumn id="5" name="economic_score_current"/>
    <x:tableColumn id="6" name="vulnerability_score_current"/>
    <x:tableColumn id="7" name="class_current"/>
    <x:tableColumn id="8" name="population"/>
    <x:tableColumn id="9" name="houses"/>
    <x:tableColumn id="10" name="area_sq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2e6c537fcc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f45b904e5a4e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64d8f7167f41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f4ebce32b3144a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ดัชนีศักยภาพและความเปราะบางทางเศรษฐกิจเชิงพื้นที่ของเขตกรุงเทพมหานคร ปีฐาน 2567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รุ่นต้นแบบเชิงวิจัย (Baseline: Equal Weight) — ไม่ใช่ดัชนีรายได้หรือเครดิตรายบุคคล</x:v>
      </x:c>
      <x:c r="B3" s="13"/>
      <x:c r="C3" s="13"/>
      <x:c r="D3" s="13"/>
      <x:c r="E3" s="13"/>
      <x:c r="F3" s="13"/>
      <x:c r="G3" s="13"/>
      <x:c r="H3" s="13"/>
    </x:row>
    <x:row r="5">
      <x:c r="A5" s="22" t="str">
        <x:v>พื้นที่ทั้งหมด</x:v>
      </x:c>
      <x:c r="B5" s="22"/>
      <x:c r="C5" s="22" t="str">
        <x:v>ความครบถ้วนข้อมูลหลัก</x:v>
      </x:c>
      <x:c r="D5" s="22"/>
      <x:c r="E5" s="22" t="str">
        <x:v>นิติบุคคลตั้งใหม่ที่ใช้</x:v>
      </x:c>
      <x:c r="F5" s="22"/>
      <x:c r="G5" s="22" t="str">
        <x:v>ปีฐาน</x:v>
      </x:c>
      <x:c r="H5" s="22"/>
    </x:row>
    <x:row r="6">
      <x:c r="A6" s="31" t="str">
        <x:v>50 เขต</x:v>
      </x:c>
      <x:c r="B6" s="31"/>
      <x:c r="C6" s="31" t="str">
        <x:v>100%</x:v>
      </x:c>
      <x:c r="D6" s="31"/>
      <x:c r="E6" s="31" t="str">
        <x:v>26,587 รายการ</x:v>
      </x:c>
      <x:c r="F6" s="31"/>
      <x:c r="G6" s="31" t="str">
        <x:v>พ.ศ. 2567</x:v>
      </x:c>
      <x:c r="H6" s="31"/>
    </x:row>
    <x:row r="7">
      <x:c r="A7" s="31"/>
      <x:c r="B7" s="31"/>
      <x:c r="C7" s="31"/>
      <x:c r="D7" s="31"/>
      <x:c r="E7" s="31"/>
      <x:c r="F7" s="31"/>
      <x:c r="G7" s="31"/>
      <x:c r="H7" s="31"/>
    </x:row>
    <x:row r="9">
      <x:c r="A9" s="22" t="str">
        <x:v>10 เขตคะแนนความยืดหยุ่นสูงสุด (ค่าตั้งต้น)</x:v>
      </x:c>
      <x:c r="B9" s="22"/>
      <x:c r="C9" s="22"/>
      <x:c r="D9" s="22"/>
      <x:c r="E9" s="48" t="str">
        <x:v>10 เขตคะแนนความยืดหยุ่นต่ำสุด (ค่าตั้งต้น)</x:v>
      </x:c>
      <x:c r="F9" s="48"/>
      <x:c r="G9" s="48"/>
      <x:c r="H9" s="48"/>
    </x:row>
    <x:row r="10">
      <x:c r="A10" s="39" t="str">
        <x:v>อันดับ</x:v>
      </x:c>
      <x:c r="B10" s="39" t="str">
        <x:v>เขต</x:v>
      </x:c>
      <x:c r="C10" s="39" t="str">
        <x:v>คะแนนรวม</x:v>
      </x:c>
      <x:c r="D10" s="39" t="str">
        <x:v>ศักยภาพเศรษฐกิจ</x:v>
      </x:c>
      <x:c r="E10" s="39" t="str">
        <x:v>อันดับ</x:v>
      </x:c>
      <x:c r="F10" s="39" t="str">
        <x:v>เขต</x:v>
      </x:c>
      <x:c r="G10" s="39" t="str">
        <x:v>คะแนนรวม</x:v>
      </x:c>
      <x:c r="H10" s="39" t="str">
        <x:v>ความเปราะบาง</x:v>
      </x:c>
    </x:row>
    <x:row r="11">
      <x:c r="A11" s="54" t="n">
        <x:v>1</x:v>
      </x:c>
      <x:c r="B11" s="54" t="str">
        <x:v>คลองเตย</x:v>
      </x:c>
      <x:c r="C11" s="56" t="n">
        <x:v>73.72</x:v>
      </x:c>
      <x:c r="D11" s="56" t="n">
        <x:v>68.88</x:v>
      </x:c>
      <x:c r="E11" s="54" t="n">
        <x:v>41</x:v>
      </x:c>
      <x:c r="F11" s="54" t="str">
        <x:v>สายไหม</x:v>
      </x:c>
      <x:c r="G11" s="56" t="n">
        <x:v>40.31</x:v>
      </x:c>
      <x:c r="H11" s="56" t="n">
        <x:v>55.1</x:v>
      </x:c>
    </x:row>
    <x:row r="12">
      <x:c r="A12" s="54" t="n">
        <x:v>2</x:v>
      </x:c>
      <x:c r="B12" s="54" t="str">
        <x:v>ปทุมวัน</x:v>
      </x:c>
      <x:c r="C12" s="56" t="n">
        <x:v>71.3</x:v>
      </x:c>
      <x:c r="D12" s="56" t="n">
        <x:v>77.55</x:v>
      </x:c>
      <x:c r="E12" s="54" t="n">
        <x:v>42</x:v>
      </x:c>
      <x:c r="F12" s="54" t="str">
        <x:v>ทุ่งครุ</x:v>
      </x:c>
      <x:c r="G12" s="56" t="n">
        <x:v>39.29</x:v>
      </x:c>
      <x:c r="H12" s="56" t="n">
        <x:v>53.06</x:v>
      </x:c>
    </x:row>
    <x:row r="13">
      <x:c r="A13" s="54" t="n">
        <x:v>3</x:v>
      </x:c>
      <x:c r="B13" s="54" t="str">
        <x:v>วัฒนา</x:v>
      </x:c>
      <x:c r="C13" s="56" t="n">
        <x:v>68.37</x:v>
      </x:c>
      <x:c r="D13" s="56" t="n">
        <x:v>68.88</x:v>
      </x:c>
      <x:c r="E13" s="54" t="n">
        <x:v>43</x:v>
      </x:c>
      <x:c r="F13" s="54" t="str">
        <x:v>มีนบุรี</x:v>
      </x:c>
      <x:c r="G13" s="56" t="n">
        <x:v>38.01</x:v>
      </x:c>
      <x:c r="H13" s="56" t="n">
        <x:v>52.04</x:v>
      </x:c>
    </x:row>
    <x:row r="14">
      <x:c r="A14" s="54" t="n">
        <x:v>4</x:v>
      </x:c>
      <x:c r="B14" s="54" t="str">
        <x:v>จตุจักร</x:v>
      </x:c>
      <x:c r="C14" s="56" t="n">
        <x:v>67.35</x:v>
      </x:c>
      <x:c r="D14" s="56" t="n">
        <x:v>57.14</x:v>
      </x:c>
      <x:c r="E14" s="54" t="n">
        <x:v>44</x:v>
      </x:c>
      <x:c r="F14" s="54" t="str">
        <x:v>คันนายาว</x:v>
      </x:c>
      <x:c r="G14" s="56" t="n">
        <x:v>38.01</x:v>
      </x:c>
      <x:c r="H14" s="56" t="n">
        <x:v>67.86</x:v>
      </x:c>
    </x:row>
    <x:row r="15">
      <x:c r="A15" s="54" t="n">
        <x:v>5</x:v>
      </x:c>
      <x:c r="B15" s="54" t="str">
        <x:v>สาทร</x:v>
      </x:c>
      <x:c r="C15" s="56" t="n">
        <x:v>66.07</x:v>
      </x:c>
      <x:c r="D15" s="56" t="n">
        <x:v>78.57</x:v>
      </x:c>
      <x:c r="E15" s="54" t="n">
        <x:v>45</x:v>
      </x:c>
      <x:c r="F15" s="54" t="str">
        <x:v>หนองแขม</x:v>
      </x:c>
      <x:c r="G15" s="56" t="n">
        <x:v>35.97</x:v>
      </x:c>
      <x:c r="H15" s="56" t="n">
        <x:v>62.76</x:v>
      </x:c>
    </x:row>
    <x:row r="16">
      <x:c r="A16" s="54" t="n">
        <x:v>6</x:v>
      </x:c>
      <x:c r="B16" s="54" t="str">
        <x:v>ห้วยขวาง</x:v>
      </x:c>
      <x:c r="C16" s="56" t="n">
        <x:v>65.56</x:v>
      </x:c>
      <x:c r="D16" s="56" t="n">
        <x:v>82.65</x:v>
      </x:c>
      <x:c r="E16" s="54" t="n">
        <x:v>46</x:v>
      </x:c>
      <x:c r="F16" s="54" t="str">
        <x:v>ราษฎร์บูรณะ</x:v>
      </x:c>
      <x:c r="G16" s="56" t="n">
        <x:v>35.59</x:v>
      </x:c>
      <x:c r="H16" s="56" t="n">
        <x:v>67.6</x:v>
      </x:c>
    </x:row>
    <x:row r="17">
      <x:c r="A17" s="54" t="n">
        <x:v>7</x:v>
      </x:c>
      <x:c r="B17" s="54" t="str">
        <x:v>บางนา</x:v>
      </x:c>
      <x:c r="C17" s="56" t="n">
        <x:v>65.05</x:v>
      </x:c>
      <x:c r="D17" s="56" t="n">
        <x:v>65.82</x:v>
      </x:c>
      <x:c r="E17" s="54" t="n">
        <x:v>47</x:v>
      </x:c>
      <x:c r="F17" s="54" t="str">
        <x:v>จอมทอง</x:v>
      </x:c>
      <x:c r="G17" s="56" t="n">
        <x:v>33.67</x:v>
      </x:c>
      <x:c r="H17" s="56" t="n">
        <x:v>58.67</x:v>
      </x:c>
    </x:row>
    <x:row r="18">
      <x:c r="A18" s="54" t="n">
        <x:v>8</x:v>
      </x:c>
      <x:c r="B18" s="54" t="str">
        <x:v>สวนหลวง</x:v>
      </x:c>
      <x:c r="C18" s="56" t="n">
        <x:v>63.01</x:v>
      </x:c>
      <x:c r="D18" s="56" t="n">
        <x:v>61.22</x:v>
      </x:c>
      <x:c r="E18" s="54" t="n">
        <x:v>48</x:v>
      </x:c>
      <x:c r="F18" s="54" t="str">
        <x:v>ดุสิต</x:v>
      </x:c>
      <x:c r="G18" s="56" t="n">
        <x:v>33.16</x:v>
      </x:c>
      <x:c r="H18" s="56" t="n">
        <x:v>73.47</x:v>
      </x:c>
    </x:row>
    <x:row r="19">
      <x:c r="A19" s="54" t="n">
        <x:v>9</x:v>
      </x:c>
      <x:c r="B19" s="54" t="str">
        <x:v>ยานนาวา</x:v>
      </x:c>
      <x:c r="C19" s="56" t="n">
        <x:v>61.1</x:v>
      </x:c>
      <x:c r="D19" s="56" t="n">
        <x:v>60.2</x:v>
      </x:c>
      <x:c r="E19" s="54" t="n">
        <x:v>49</x:v>
      </x:c>
      <x:c r="F19" s="54" t="str">
        <x:v>สะพานสูง</x:v>
      </x:c>
      <x:c r="G19" s="56" t="n">
        <x:v>32.91</x:v>
      </x:c>
      <x:c r="H19" s="56" t="n">
        <x:v>86.22</x:v>
      </x:c>
    </x:row>
    <x:row r="20">
      <x:c r="A20" s="54" t="n">
        <x:v>10</x:v>
      </x:c>
      <x:c r="B20" s="54" t="str">
        <x:v>พญาไท</x:v>
      </x:c>
      <x:c r="C20" s="56" t="n">
        <x:v>60.71</x:v>
      </x:c>
      <x:c r="D20" s="56" t="n">
        <x:v>65.82</x:v>
      </x:c>
      <x:c r="E20" s="54" t="n">
        <x:v>50</x:v>
      </x:c>
      <x:c r="F20" s="54" t="str">
        <x:v>หนองจอก</x:v>
      </x:c>
      <x:c r="G20" s="56" t="n">
        <x:v>29.21</x:v>
      </x:c>
      <x:c r="H20" s="56" t="n">
        <x:v>56.38</x:v>
      </x:c>
    </x:row>
    <x:row r="23">
      <x:c r="A23" s="22" t="str">
        <x:v>วิธีอ่านคะแนน</x:v>
      </x:c>
      <x:c r="B23" s="22"/>
      <x:c r="C23" s="22"/>
      <x:c r="D23" s="22"/>
      <x:c r="E23" s="22"/>
      <x:c r="F23" s="22"/>
      <x:c r="G23" s="22"/>
      <x:c r="H23" s="22"/>
    </x:row>
    <x:row r="24" ht="34" customHeight="1">
      <x:c r="A24" s="62" t="str">
        <x:v>คะแนนศักยภาพเศรษฐกิจ</x:v>
      </x:c>
      <x:c r="B24" s="69" t="str">
        <x:v>สูง = ธุรกิจตั้งใหม่มาก ทุนต่อบ้านสูง ความหลากหลายธุรกิจสูง และความหนาแน่นบ้านสูง</x:v>
      </x:c>
      <x:c r="C24" s="69"/>
      <x:c r="D24" s="69"/>
      <x:c r="E24" s="69"/>
      <x:c r="F24" s="69"/>
      <x:c r="G24" s="69"/>
      <x:c r="H24" s="69"/>
    </x:row>
    <x:row r="25" ht="34" customHeight="1">
      <x:c r="A25" s="62" t="str">
        <x:v>คะแนนความเปราะบาง</x:v>
      </x:c>
      <x:c r="B25" s="69" t="str">
        <x:v>สูง = สัดส่วนชุมชนแออัดสูง คนต่อบ้านสูง พื้นที่สีเขียวต่อคนต่ำ และเหตุสาธารณภัยต่อบ้านสูง</x:v>
      </x:c>
      <x:c r="C25" s="69"/>
      <x:c r="D25" s="69"/>
      <x:c r="E25" s="69"/>
      <x:c r="F25" s="69"/>
      <x:c r="G25" s="69"/>
      <x:c r="H25" s="69"/>
    </x:row>
    <x:row r="26" ht="34" customHeight="1">
      <x:c r="A26" s="62" t="str">
        <x:v>คะแนนความยืดหยุ่นรวม</x:v>
      </x:c>
      <x:c r="B26" s="69" t="str">
        <x:v>ศักยภาพเศรษฐกิจ 50% + (100 − ความเปราะบาง) 50% โดยปรับน้ำหนักได้ในชีต Weights_Method</x:v>
      </x:c>
      <x:c r="C26" s="69"/>
      <x:c r="D26" s="69"/>
      <x:c r="E26" s="69"/>
      <x:c r="F26" s="69"/>
      <x:c r="G26" s="69"/>
      <x:c r="H26" s="69"/>
    </x:row>
    <x:row r="27" ht="34" customHeight="1">
      <x:c r="A27" s="62" t="str">
        <x:v>ข้อจำกัดสำคัญ</x:v>
      </x:c>
      <x:c r="B27" s="69" t="str">
        <x:v>ข้อมูล DBD สะท้อนที่ตั้งสำนักงานใหญ่ และพื้นที่สีเขียวเป็นพื้นที่ที่รายงานในระบบ กทม. ไม่ใช่ land cover ทั้งเขต</x:v>
      </x:c>
      <x:c r="C27" s="69"/>
      <x:c r="D27" s="69"/>
      <x:c r="E27" s="69"/>
      <x:c r="F27" s="69"/>
      <x:c r="G27" s="69"/>
      <x:c r="H27" s="69"/>
    </x:row>
    <x:row r="28" ht="34" customHeight="1">
      <x:c r="A28" s="62" t="str">
        <x:v>การใช้ใน GIS</x:v>
      </x:c>
      <x:c r="B28" s="69" t="str">
        <x:v>ใช้ชีต GIS_Export หรือไฟล์ CSV แล้ว Join กับขอบเขตเขตโดยฟิลด์ district_join_name</x:v>
      </x:c>
      <x:c r="C28" s="69"/>
      <x:c r="D28" s="69"/>
      <x:c r="E28" s="69"/>
      <x:c r="F28" s="69"/>
      <x:c r="G28" s="69"/>
      <x:c r="H28" s="69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E9:H9"/>
    <x:mergeCell ref="A23:H23"/>
    <x:mergeCell ref="B24:H24"/>
    <x:mergeCell ref="B25:H25"/>
    <x:mergeCell ref="B26:H26"/>
    <x:mergeCell ref="B27:H27"/>
    <x:mergeCell ref="B28:H28"/>
  </x:mergeCells>
  <x:conditionalFormatting sqref="C11:C20">
    <x:cfRule type="dataBar" priority="1">
      <x:dataBar>
        <x:cfvo type="min"/>
        <x:cfvo type="max"/>
        <x:color rgb="FF0F6B6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G11:G20">
    <x:cfRule type="dataBar" priority="2">
      <x:dataBar>
        <x:cfvo type="min"/>
        <x:cfvo type="max"/>
        <x:color rgb="FFC65911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e2e6c537fcc41e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6B67"/>
            </x14:dataBar>
          </x14:cfRule>
          <xm:sqref>C11:C20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C65911"/>
            </x14:dataBar>
          </x14:cfRule>
          <xm:sqref>G11:G20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14" hidden="0" customWidth="1"/>
  </x:cols>
  <x:sheetData>
    <x:row r="1" ht="32" customHeight="1">
      <x:c r="A1" s="39" t="str">
        <x:v>อันดับ</x:v>
      </x:c>
      <x:c r="B1" s="39" t="str">
        <x:v>เขต</x:v>
      </x:c>
      <x:c r="C1" s="39" t="str">
        <x:v>คะแนนความยืดหยุ่นรวม</x:v>
      </x:c>
      <x:c r="D1" s="39" t="str">
        <x:v>คะแนนศักยภาพเศรษฐกิจ</x:v>
      </x:c>
      <x:c r="E1" s="39" t="str">
        <x:v>คะแนนความเปราะบาง</x:v>
      </x:c>
      <x:c r="F1" s="39" t="str">
        <x:v>ระดับ</x:v>
      </x:c>
      <x:c r="G1" s="39" t="str">
        <x:v>นิติบุคคลใหม่/1,000 บ้าน</x:v>
      </x:c>
      <x:c r="H1" s="39" t="str">
        <x:v>ทุน/บ้าน (บาท)</x:v>
      </x:c>
      <x:c r="I1" s="39" t="str">
        <x:v>ทุน/บ้าน Winsor P95</x:v>
      </x:c>
      <x:c r="J1" s="39" t="str">
        <x:v>Business diversity</x:v>
      </x:c>
      <x:c r="K1" s="39" t="str">
        <x:v>บ้าน/ตร.กม.</x:v>
      </x:c>
      <x:c r="L1" s="39" t="str">
        <x:v>ชุมชนแออัด (%)</x:v>
      </x:c>
      <x:c r="M1" s="39" t="str">
        <x:v>คน/บ้าน</x:v>
      </x:c>
      <x:c r="N1" s="39" t="str">
        <x:v>พื้นที่สีเขียว/คน (ตร.ม.)</x:v>
      </x:c>
      <x:c r="O1" s="39" t="str">
        <x:v>เหตุสาธารณภัย/10,000 บ้าน</x:v>
      </x:c>
      <x:c r="P1" s="39" t="str">
        <x:v>E1</x:v>
      </x:c>
      <x:c r="Q1" s="39" t="str">
        <x:v>E2</x:v>
      </x:c>
      <x:c r="R1" s="39" t="str">
        <x:v>E3</x:v>
      </x:c>
      <x:c r="S1" s="39" t="str">
        <x:v>E4</x:v>
      </x:c>
      <x:c r="T1" s="39" t="str">
        <x:v>V1</x:v>
      </x:c>
      <x:c r="U1" s="39" t="str">
        <x:v>V2</x:v>
      </x:c>
      <x:c r="V1" s="39" t="str">
        <x:v>V3</x:v>
      </x:c>
      <x:c r="W1" s="39" t="str">
        <x:v>V4</x:v>
      </x:c>
      <x:c r="X1" s="39" t="str">
        <x:v>ความครบถ้วน</x:v>
      </x:c>
    </x:row>
    <x:row r="2">
      <x:c r="A2" s="102" t="n">
        <x:f>RANK.EQ(C2,$C$2:$C$51,0)</x:f>
        <x:v>1</x:v>
      </x:c>
      <x:c r="B2" s="100" t="str">
        <x:v>คลองเตย</x:v>
      </x:c>
      <x:c r="C2" s="104" t="n">
        <x:f>(D2*Weights_Method!$B$5+(100-E2)*Weights_Method!$B$6)/SUM(Weights_Method!$B$5:$B$6)</x:f>
        <x:v>73.72448979591837</x:v>
      </x:c>
      <x:c r="D2" s="104" t="n">
        <x:f>(P2*Weights_Method!$B$10+Q2*Weights_Method!$B$11+R2*Weights_Method!$B$12+S2*Weights_Method!$B$13)/SUM(Weights_Method!$B$10:$B$13)</x:f>
        <x:v>68.87755102040816</x:v>
      </x:c>
      <x:c r="E2" s="104" t="n">
        <x:f>(T2*Weights_Method!$B$17+U2*Weights_Method!$B$18+V2*Weights_Method!$B$19+W2*Weights_Method!$B$20)/SUM(Weights_Method!$B$17:$B$20)</x:f>
        <x:v>21.428571428571427</x:v>
      </x:c>
      <x:c r="F2" s="100" t="str">
        <x:f>IF(C2&gt;=Weights_Method!$E$5,Weights_Method!$D$5,IF(C2&gt;=Weights_Method!$E$6,Weights_Method!$D$6,IF(C2&gt;=Weights_Method!$E$7,Weights_Method!$D$7,IF(C2&gt;=Weights_Method!$E$8,Weights_Method!$D$8,Weights_Method!$D$9))))</x:f>
        <x:v>สูง</x:v>
      </x:c>
      <x:c r="G2" s="106" t="n">
        <x:f>Raw_Data!J2/Raw_Data!C2*1000</x:f>
        <x:v>10.297960693531259</x:v>
      </x:c>
      <x:c r="H2" s="106" t="n">
        <x:f>Raw_Data!K2/Raw_Data!C2</x:f>
        <x:v>41683.92274739568</x:v>
      </x:c>
      <x:c r="I2" s="106" t="n">
        <x:f>MIN(H2,Weights_Method!$B$23)</x:f>
        <x:v>41683.92274739568</x:v>
      </x:c>
      <x:c r="J2" s="108" t="n">
        <x:f>Raw_Data!L2</x:f>
        <x:v>0.7845365291191937</x:v>
      </x:c>
      <x:c r="K2" s="106" t="n">
        <x:f>Raw_Data!C2/Raw_Data!D2</x:f>
        <x:v>6449.361243650916</x:v>
      </x:c>
      <x:c r="L2" s="106" t="n">
        <x:f>Raw_Data!F2/Raw_Data!E2*100</x:f>
        <x:v>55.00000000000001</x:v>
      </x:c>
      <x:c r="M2" s="106" t="n">
        <x:f>Raw_Data!B2/Raw_Data!C2</x:f>
        <x:v>1.0621696120663937</x:v>
      </x:c>
      <x:c r="N2" s="106" t="n">
        <x:f>Raw_Data!H2/Raw_Data!B2</x:f>
        <x:v>9.225214294541248</x:v>
      </x:c>
      <x:c r="O2" s="106" t="n">
        <x:f>Raw_Data!I2/Raw_Data!C2*10000</x:f>
        <x:v>7.994940515256017</x:v>
      </x:c>
      <x:c r="P2" s="104" t="n">
        <x:f>(RANK.EQ(G2,$G$2:$G$51,1)-1)/(COUNT($G$2:$G$51)-1)*100</x:f>
        <x:v>83.6734693877551</x:v>
      </x:c>
      <x:c r="Q2" s="104" t="n">
        <x:f>(RANK.EQ(I2,$I$2:$I$51,1)-1)/(COUNT($I$2:$I$51)-1)*100</x:f>
        <x:v>79.59183673469387</x:v>
      </x:c>
      <x:c r="R2" s="104" t="n">
        <x:f>(RANK.EQ(J2,$J$2:$J$51,1)-1)/(COUNT($J$2:$J$51)-1)*100</x:f>
        <x:v>30.612244897959183</x:v>
      </x:c>
      <x:c r="S2" s="104" t="n">
        <x:f>(RANK.EQ(K2,$K$2:$K$51,1)-1)/(COUNT($K$2:$K$51)-1)*100</x:f>
        <x:v>81.63265306122449</x:v>
      </x:c>
      <x:c r="T2" s="104" t="n">
        <x:f>(RANK.EQ(L2,$L$2:$L$51,1)-1)/(COUNT($L$2:$L$51)-1)*100</x:f>
        <x:v>65.3061224489796</x:v>
      </x:c>
      <x:c r="U2" s="104" t="n">
        <x:f>(RANK.EQ(M2,$M$2:$M$51,1)-1)/(COUNT($M$2:$M$51)-1)*100</x:f>
        <x:v>4.081632653061225</x:v>
      </x:c>
      <x:c r="V2" s="104" t="n">
        <x:f>(RANK.EQ(N2,$N$2:$N$51,0)-1)/(COUNT($N$2:$N$51)-1)*100</x:f>
        <x:v>4.081632653061225</x:v>
      </x:c>
      <x:c r="W2" s="104" t="n">
        <x:f>(RANK.EQ(O2,$O$2:$O$51,1)-1)/(COUNT($O$2:$O$51)-1)*100</x:f>
        <x:v>12.244897959183673</x:v>
      </x:c>
      <x:c r="X2" s="110" t="n">
        <x:f>COUNT(Raw_Data!B2:L2)/11</x:f>
        <x:v>1</x:v>
      </x:c>
    </x:row>
    <x:row r="3">
      <x:c r="A3" s="102" t="n">
        <x:f>RANK.EQ(C3,$C$2:$C$51,0)</x:f>
        <x:v>2</x:v>
      </x:c>
      <x:c r="B3" s="100" t="str">
        <x:v>ปทุมวัน</x:v>
      </x:c>
      <x:c r="C3" s="104" t="n">
        <x:f>(D3*Weights_Method!$B$5+(100-E3)*Weights_Method!$B$6)/SUM(Weights_Method!$B$5:$B$6)</x:f>
        <x:v>71.17346938775509</x:v>
      </x:c>
      <x:c r="D3" s="104" t="n">
        <x:f>(P3*Weights_Method!$B$10+Q3*Weights_Method!$B$11+R3*Weights_Method!$B$12+S3*Weights_Method!$B$13)/SUM(Weights_Method!$B$10:$B$13)</x:f>
        <x:v>77.0408163265306</x:v>
      </x:c>
      <x:c r="E3" s="104" t="n">
        <x:f>(T3*Weights_Method!$B$17+U3*Weights_Method!$B$18+V3*Weights_Method!$B$19+W3*Weights_Method!$B$20)/SUM(Weights_Method!$B$17:$B$20)</x:f>
        <x:v>34.69387755102041</x:v>
      </x:c>
      <x:c r="F3" s="100" t="str">
        <x:f>IF(C3&gt;=Weights_Method!$E$5,Weights_Method!$D$5,IF(C3&gt;=Weights_Method!$E$6,Weights_Method!$D$6,IF(C3&gt;=Weights_Method!$E$7,Weights_Method!$D$7,IF(C3&gt;=Weights_Method!$E$8,Weights_Method!$D$8,Weights_Method!$D$9))))</x:f>
        <x:v>สูง</x:v>
      </x:c>
      <x:c r="G3" s="106" t="n">
        <x:f>Raw_Data!J3/Raw_Data!C3*1000</x:f>
        <x:v>23.480833230617527</x:v>
      </x:c>
      <x:c r="H3" s="106" t="n">
        <x:f>Raw_Data!K3/Raw_Data!C3</x:f>
        <x:v>404085.29304819426</x:v>
      </x:c>
      <x:c r="I3" s="106" t="n">
        <x:f>MIN(H3,Weights_Method!$B$23)</x:f>
        <x:v>182574.98589423014</x:v>
      </x:c>
      <x:c r="J3" s="108" t="n">
        <x:f>Raw_Data!L3</x:f>
        <x:v>0.8063436863155423</x:v>
      </x:c>
      <x:c r="K3" s="106" t="n">
        <x:f>Raw_Data!C3/Raw_Data!D3</x:f>
        <x:v>3877.6436850280797</x:v>
      </x:c>
      <x:c r="L3" s="106" t="n">
        <x:f>Raw_Data!F3/Raw_Data!E3*100</x:f>
        <x:v>70.58823529411765</x:v>
      </x:c>
      <x:c r="M3" s="106" t="n">
        <x:f>Raw_Data!B3/Raw_Data!C3</x:f>
        <x:v>1.212406015037594</x:v>
      </x:c>
      <x:c r="N3" s="106" t="n">
        <x:f>Raw_Data!H3/Raw_Data!B3</x:f>
        <x:v>15.882475536917017</x:v>
      </x:c>
      <x:c r="O3" s="106" t="n">
        <x:f>Raw_Data!I3/Raw_Data!C3*10000</x:f>
        <x:v>11.093307038087021</x:v>
      </x:c>
      <x:c r="P3" s="104" t="n">
        <x:f>(RANK.EQ(G3,$G$2:$G$51,1)-1)/(COUNT($G$2:$G$51)-1)*100</x:f>
        <x:v>97.95918367346938</x:v>
      </x:c>
      <x:c r="Q3" s="104" t="n">
        <x:f>(RANK.EQ(I3,$I$2:$I$51,1)-1)/(COUNT($I$2:$I$51)-1)*100</x:f>
        <x:v>95.91836734693877</x:v>
      </x:c>
      <x:c r="R3" s="104" t="n">
        <x:f>(RANK.EQ(J3,$J$2:$J$51,1)-1)/(COUNT($J$2:$J$51)-1)*100</x:f>
        <x:v>57.14285714285714</x:v>
      </x:c>
      <x:c r="S3" s="104" t="n">
        <x:f>(RANK.EQ(K3,$K$2:$K$51,1)-1)/(COUNT($K$2:$K$51)-1)*100</x:f>
        <x:v>57.14285714285714</x:v>
      </x:c>
      <x:c r="T3" s="104" t="n">
        <x:f>(RANK.EQ(L3,$L$2:$L$51,1)-1)/(COUNT($L$2:$L$51)-1)*100</x:f>
        <x:v>71.42857142857143</x:v>
      </x:c>
      <x:c r="U3" s="104" t="n">
        <x:f>(RANK.EQ(M3,$M$2:$M$51,1)-1)/(COUNT($M$2:$M$51)-1)*100</x:f>
        <x:v>16.3265306122449</x:v>
      </x:c>
      <x:c r="V3" s="104" t="n">
        <x:f>(RANK.EQ(N3,$N$2:$N$51,0)-1)/(COUNT($N$2:$N$51)-1)*100</x:f>
        <x:v>0</x:v>
      </x:c>
      <x:c r="W3" s="104" t="n">
        <x:f>(RANK.EQ(O3,$O$2:$O$51,1)-1)/(COUNT($O$2:$O$51)-1)*100</x:f>
        <x:v>51.02040816326531</x:v>
      </x:c>
      <x:c r="X3" s="110" t="n">
        <x:f>COUNT(Raw_Data!B3:L3)/11</x:f>
        <x:v>1</x:v>
      </x:c>
    </x:row>
    <x:row r="4">
      <x:c r="A4" s="102" t="n">
        <x:f>RANK.EQ(C4,$C$2:$C$51,0)</x:f>
        <x:v>3</x:v>
      </x:c>
      <x:c r="B4" s="100" t="str">
        <x:v>วัฒนา</x:v>
      </x:c>
      <x:c r="C4" s="104" t="n">
        <x:f>(D4*Weights_Method!$B$5+(100-E4)*Weights_Method!$B$6)/SUM(Weights_Method!$B$5:$B$6)</x:f>
        <x:v>68.36734693877551</x:v>
      </x:c>
      <x:c r="D4" s="104" t="n">
        <x:f>(P4*Weights_Method!$B$10+Q4*Weights_Method!$B$11+R4*Weights_Method!$B$12+S4*Weights_Method!$B$13)/SUM(Weights_Method!$B$10:$B$13)</x:f>
        <x:v>68.87755102040816</x:v>
      </x:c>
      <x:c r="E4" s="104" t="n">
        <x:f>(T4*Weights_Method!$B$17+U4*Weights_Method!$B$18+V4*Weights_Method!$B$19+W4*Weights_Method!$B$20)/SUM(Weights_Method!$B$17:$B$20)</x:f>
        <x:v>32.14285714285714</x:v>
      </x:c>
      <x:c r="F4" s="100" t="str">
        <x:f>IF(C4&gt;=Weights_Method!$E$5,Weights_Method!$D$5,IF(C4&gt;=Weights_Method!$E$6,Weights_Method!$D$6,IF(C4&gt;=Weights_Method!$E$7,Weights_Method!$D$7,IF(C4&gt;=Weights_Method!$E$8,Weights_Method!$D$8,Weights_Method!$D$9))))</x:f>
        <x:v>สูง</x:v>
      </x:c>
      <x:c r="G4" s="106" t="n">
        <x:f>Raw_Data!J4/Raw_Data!C4*1000</x:f>
        <x:v>19.655231659126052</x:v>
      </x:c>
      <x:c r="H4" s="106" t="n">
        <x:f>Raw_Data!K4/Raw_Data!C4</x:f>
        <x:v>79377.01735295802</x:v>
      </x:c>
      <x:c r="I4" s="106" t="n">
        <x:f>MIN(H4,Weights_Method!$B$23)</x:f>
        <x:v>79377.01735295802</x:v>
      </x:c>
      <x:c r="J4" s="108" t="n">
        <x:f>Raw_Data!L4</x:f>
        <x:v>0.7240175983139074</x:v>
      </x:c>
      <x:c r="K4" s="106" t="n">
        <x:f>Raw_Data!C4/Raw_Data!D4</x:f>
        <x:v>6948.269001193793</x:v>
      </x:c>
      <x:c r="L4" s="106" t="n">
        <x:f>Raw_Data!F4/Raw_Data!E4*100</x:f>
        <x:v>20</x:v>
      </x:c>
      <x:c r="M4" s="106" t="n">
        <x:f>Raw_Data!B4/Raw_Data!C4</x:f>
        <x:v>0.9203252963747781</x:v>
      </x:c>
      <x:c r="N4" s="106" t="n">
        <x:f>Raw_Data!H4/Raw_Data!B4</x:f>
        <x:v>0.04165577667425855</x:v>
      </x:c>
      <x:c r="O4" s="106" t="n">
        <x:f>Raw_Data!I4/Raw_Data!C4*10000</x:f>
        <x:v>6.98699959910658</x:v>
      </x:c>
      <x:c r="P4" s="104" t="n">
        <x:f>(RANK.EQ(G4,$G$2:$G$51,1)-1)/(COUNT($G$2:$G$51)-1)*100</x:f>
        <x:v>95.91836734693877</x:v>
      </x:c>
      <x:c r="Q4" s="104" t="n">
        <x:f>(RANK.EQ(I4,$I$2:$I$51,1)-1)/(COUNT($I$2:$I$51)-1)*100</x:f>
        <x:v>91.83673469387756</x:v>
      </x:c>
      <x:c r="R4" s="104" t="n">
        <x:f>(RANK.EQ(J4,$J$2:$J$51,1)-1)/(COUNT($J$2:$J$51)-1)*100</x:f>
        <x:v>0</x:v>
      </x:c>
      <x:c r="S4" s="104" t="n">
        <x:f>(RANK.EQ(K4,$K$2:$K$51,1)-1)/(COUNT($K$2:$K$51)-1)*100</x:f>
        <x:v>87.75510204081633</x:v>
      </x:c>
      <x:c r="T4" s="104" t="n">
        <x:f>(RANK.EQ(L4,$L$2:$L$51,1)-1)/(COUNT($L$2:$L$51)-1)*100</x:f>
        <x:v>42.857142857142854</x:v>
      </x:c>
      <x:c r="U4" s="104" t="n">
        <x:f>(RANK.EQ(M4,$M$2:$M$51,1)-1)/(COUNT($M$2:$M$51)-1)*100</x:f>
        <x:v>2.0408163265306123</x:v>
      </x:c>
      <x:c r="V4" s="104" t="n">
        <x:f>(RANK.EQ(N4,$N$2:$N$51,0)-1)/(COUNT($N$2:$N$51)-1)*100</x:f>
        <x:v>81.63265306122449</x:v>
      </x:c>
      <x:c r="W4" s="104" t="n">
        <x:f>(RANK.EQ(O4,$O$2:$O$51,1)-1)/(COUNT($O$2:$O$51)-1)*100</x:f>
        <x:v>2.0408163265306123</x:v>
      </x:c>
      <x:c r="X4" s="110" t="n">
        <x:f>COUNT(Raw_Data!B4:L4)/11</x:f>
        <x:v>1</x:v>
      </x:c>
    </x:row>
    <x:row r="5">
      <x:c r="A5" s="102" t="n">
        <x:f>RANK.EQ(C5,$C$2:$C$51,0)</x:f>
        <x:v>4</x:v>
      </x:c>
      <x:c r="B5" s="100" t="str">
        <x:v>จตุจักร</x:v>
      </x:c>
      <x:c r="C5" s="104" t="n">
        <x:f>(D5*Weights_Method!$B$5+(100-E5)*Weights_Method!$B$6)/SUM(Weights_Method!$B$5:$B$6)</x:f>
        <x:v>67.34693877551021</x:v>
      </x:c>
      <x:c r="D5" s="104" t="n">
        <x:f>(P5*Weights_Method!$B$10+Q5*Weights_Method!$B$11+R5*Weights_Method!$B$12+S5*Weights_Method!$B$13)/SUM(Weights_Method!$B$10:$B$13)</x:f>
        <x:v>57.14285714285714</x:v>
      </x:c>
      <x:c r="E5" s="104" t="n">
        <x:f>(T5*Weights_Method!$B$17+U5*Weights_Method!$B$18+V5*Weights_Method!$B$19+W5*Weights_Method!$B$20)/SUM(Weights_Method!$B$17:$B$20)</x:f>
        <x:v>22.448979591836736</x:v>
      </x:c>
      <x:c r="F5" s="100" t="str">
        <x:f>IF(C5&gt;=Weights_Method!$E$5,Weights_Method!$D$5,IF(C5&gt;=Weights_Method!$E$6,Weights_Method!$D$6,IF(C5&gt;=Weights_Method!$E$7,Weights_Method!$D$7,IF(C5&gt;=Weights_Method!$E$8,Weights_Method!$D$8,Weights_Method!$D$9))))</x:f>
        <x:v>สูง</x:v>
      </x:c>
      <x:c r="G5" s="106" t="n">
        <x:f>Raw_Data!J5/Raw_Data!C5*1000</x:f>
        <x:v>5.923724052595274</x:v>
      </x:c>
      <x:c r="H5" s="106" t="n">
        <x:f>Raw_Data!K5/Raw_Data!C5</x:f>
        <x:v>21384.311020402358</x:v>
      </x:c>
      <x:c r="I5" s="106" t="n">
        <x:f>MIN(H5,Weights_Method!$B$23)</x:f>
        <x:v>21384.311020402358</x:v>
      </x:c>
      <x:c r="J5" s="108" t="n">
        <x:f>Raw_Data!L5</x:f>
        <x:v>0.8157454848010148</x:v>
      </x:c>
      <x:c r="K5" s="106" t="n">
        <x:f>Raw_Data!C5/Raw_Data!D5</x:f>
        <x:v>4273.155463717029</x:v>
      </x:c>
      <x:c r="L5" s="106" t="n">
        <x:f>Raw_Data!F5/Raw_Data!E5*100</x:f>
        <x:v>51.21951219512195</x:v>
      </x:c>
      <x:c r="M5" s="106" t="n">
        <x:f>Raw_Data!B5/Raw_Data!C5</x:f>
        <x:v>1.0986979185185712</x:v>
      </x:c>
      <x:c r="N5" s="106" t="n">
        <x:f>Raw_Data!H5/Raw_Data!B5</x:f>
        <x:v>8.431766990291262</x:v>
      </x:c>
      <x:c r="O5" s="106" t="n">
        <x:f>Raw_Data!I5/Raw_Data!C5*10000</x:f>
        <x:v>7.893557861201385</x:v>
      </x:c>
      <x:c r="P5" s="104" t="n">
        <x:f>(RANK.EQ(G5,$G$2:$G$51,1)-1)/(COUNT($G$2:$G$51)-1)*100</x:f>
        <x:v>32.6530612244898</x:v>
      </x:c>
      <x:c r="Q5" s="104" t="n">
        <x:f>(RANK.EQ(I5,$I$2:$I$51,1)-1)/(COUNT($I$2:$I$51)-1)*100</x:f>
        <x:v>57.14285714285714</x:v>
      </x:c>
      <x:c r="R5" s="104" t="n">
        <x:f>(RANK.EQ(J5,$J$2:$J$51,1)-1)/(COUNT($J$2:$J$51)-1)*100</x:f>
        <x:v>73.46938775510205</x:v>
      </x:c>
      <x:c r="S5" s="104" t="n">
        <x:f>(RANK.EQ(K5,$K$2:$K$51,1)-1)/(COUNT($K$2:$K$51)-1)*100</x:f>
        <x:v>65.3061224489796</x:v>
      </x:c>
      <x:c r="T5" s="104" t="n">
        <x:f>(RANK.EQ(L5,$L$2:$L$51,1)-1)/(COUNT($L$2:$L$51)-1)*100</x:f>
        <x:v>63.26530612244898</x:v>
      </x:c>
      <x:c r="U5" s="104" t="n">
        <x:f>(RANK.EQ(M5,$M$2:$M$51,1)-1)/(COUNT($M$2:$M$51)-1)*100</x:f>
        <x:v>10.204081632653061</x:v>
      </x:c>
      <x:c r="V5" s="104" t="n">
        <x:f>(RANK.EQ(N5,$N$2:$N$51,0)-1)/(COUNT($N$2:$N$51)-1)*100</x:f>
        <x:v>6.122448979591836</x:v>
      </x:c>
      <x:c r="W5" s="104" t="n">
        <x:f>(RANK.EQ(O5,$O$2:$O$51,1)-1)/(COUNT($O$2:$O$51)-1)*100</x:f>
        <x:v>10.204081632653061</x:v>
      </x:c>
      <x:c r="X5" s="110" t="n">
        <x:f>COUNT(Raw_Data!B5:L5)/11</x:f>
        <x:v>1</x:v>
      </x:c>
    </x:row>
    <x:row r="6">
      <x:c r="A6" s="102" t="n">
        <x:f>RANK.EQ(C6,$C$2:$C$51,0)</x:f>
        <x:v>5</x:v>
      </x:c>
      <x:c r="B6" s="100" t="str">
        <x:v>สาทร</x:v>
      </x:c>
      <x:c r="C6" s="104" t="n">
        <x:f>(D6*Weights_Method!$B$5+(100-E6)*Weights_Method!$B$6)/SUM(Weights_Method!$B$5:$B$6)</x:f>
        <x:v>66.07142857142857</x:v>
      </x:c>
      <x:c r="D6" s="104" t="n">
        <x:f>(P6*Weights_Method!$B$10+Q6*Weights_Method!$B$11+R6*Weights_Method!$B$12+S6*Weights_Method!$B$13)/SUM(Weights_Method!$B$10:$B$13)</x:f>
        <x:v>78.57142857142857</x:v>
      </x:c>
      <x:c r="E6" s="104" t="n">
        <x:f>(T6*Weights_Method!$B$17+U6*Weights_Method!$B$18+V6*Weights_Method!$B$19+W6*Weights_Method!$B$20)/SUM(Weights_Method!$B$17:$B$20)</x:f>
        <x:v>46.42857142857143</x:v>
      </x:c>
      <x:c r="F6" s="100" t="str">
        <x:f>IF(C6&gt;=Weights_Method!$E$5,Weights_Method!$D$5,IF(C6&gt;=Weights_Method!$E$6,Weights_Method!$D$6,IF(C6&gt;=Weights_Method!$E$7,Weights_Method!$D$7,IF(C6&gt;=Weights_Method!$E$8,Weights_Method!$D$8,Weights_Method!$D$9))))</x:f>
        <x:v>สูง</x:v>
      </x:c>
      <x:c r="G6" s="106" t="n">
        <x:f>Raw_Data!J6/Raw_Data!C6*1000</x:f>
        <x:v>9.236344352130105</x:v>
      </x:c>
      <x:c r="H6" s="106" t="n">
        <x:f>Raw_Data!K6/Raw_Data!C6</x:f>
        <x:v>69221.53022803606</x:v>
      </x:c>
      <x:c r="I6" s="106" t="n">
        <x:f>MIN(H6,Weights_Method!$B$23)</x:f>
        <x:v>69221.53022803606</x:v>
      </x:c>
      <x:c r="J6" s="108" t="n">
        <x:f>Raw_Data!L6</x:f>
        <x:v>0.8193724827105905</x:v>
      </x:c>
      <x:c r="K6" s="106" t="n">
        <x:f>Raw_Data!C6/Raw_Data!D6</x:f>
        <x:v>4852.669954964615</x:v>
      </x:c>
      <x:c r="L6" s="106" t="n">
        <x:f>Raw_Data!F6/Raw_Data!E6*100</x:f>
        <x:v>33.33333333333333</x:v>
      </x:c>
      <x:c r="M6" s="106" t="n">
        <x:f>Raw_Data!B6/Raw_Data!C6</x:f>
        <x:v>1.553827116846385</x:v>
      </x:c>
      <x:c r="N6" s="106" t="n">
        <x:f>Raw_Data!H6/Raw_Data!B6</x:f>
        <x:v>0.570193401592719</x:v>
      </x:c>
      <x:c r="O6" s="106" t="n">
        <x:f>Raw_Data!I6/Raw_Data!C6*10000</x:f>
        <x:v>11.49018914619056</x:v>
      </x:c>
      <x:c r="P6" s="104" t="n">
        <x:f>(RANK.EQ(G6,$G$2:$G$51,1)-1)/(COUNT($G$2:$G$51)-1)*100</x:f>
        <x:v>75.51020408163265</x:v>
      </x:c>
      <x:c r="Q6" s="104" t="n">
        <x:f>(RANK.EQ(I6,$I$2:$I$51,1)-1)/(COUNT($I$2:$I$51)-1)*100</x:f>
        <x:v>89.79591836734694</x:v>
      </x:c>
      <x:c r="R6" s="104" t="n">
        <x:f>(RANK.EQ(J6,$J$2:$J$51,1)-1)/(COUNT($J$2:$J$51)-1)*100</x:f>
        <x:v>75.51020408163265</x:v>
      </x:c>
      <x:c r="S6" s="104" t="n">
        <x:f>(RANK.EQ(K6,$K$2:$K$51,1)-1)/(COUNT($K$2:$K$51)-1)*100</x:f>
        <x:v>73.46938775510205</x:v>
      </x:c>
      <x:c r="T6" s="104" t="n">
        <x:f>(RANK.EQ(L6,$L$2:$L$51,1)-1)/(COUNT($L$2:$L$51)-1)*100</x:f>
        <x:v>55.10204081632652</x:v>
      </x:c>
      <x:c r="U6" s="104" t="n">
        <x:f>(RANK.EQ(M6,$M$2:$M$51,1)-1)/(COUNT($M$2:$M$51)-1)*100</x:f>
        <x:v>36.734693877551024</x:v>
      </x:c>
      <x:c r="V6" s="104" t="n">
        <x:f>(RANK.EQ(N6,$N$2:$N$51,0)-1)/(COUNT($N$2:$N$51)-1)*100</x:f>
        <x:v>34.69387755102041</x:v>
      </x:c>
      <x:c r="W6" s="104" t="n">
        <x:f>(RANK.EQ(O6,$O$2:$O$51,1)-1)/(COUNT($O$2:$O$51)-1)*100</x:f>
        <x:v>59.183673469387756</x:v>
      </x:c>
      <x:c r="X6" s="110" t="n">
        <x:f>COUNT(Raw_Data!B6:L6)/11</x:f>
        <x:v>1</x:v>
      </x:c>
    </x:row>
    <x:row r="7">
      <x:c r="A7" s="102" t="n">
        <x:f>RANK.EQ(C7,$C$2:$C$51,0)</x:f>
        <x:v>6</x:v>
      </x:c>
      <x:c r="B7" s="100" t="str">
        <x:v>ห้วยขวาง</x:v>
      </x:c>
      <x:c r="C7" s="104" t="n">
        <x:f>(D7*Weights_Method!$B$5+(100-E7)*Weights_Method!$B$6)/SUM(Weights_Method!$B$5:$B$6)</x:f>
        <x:v>65.56122448979592</x:v>
      </x:c>
      <x:c r="D7" s="104" t="n">
        <x:f>(P7*Weights_Method!$B$10+Q7*Weights_Method!$B$11+R7*Weights_Method!$B$12+S7*Weights_Method!$B$13)/SUM(Weights_Method!$B$10:$B$13)</x:f>
        <x:v>82.65306122448979</x:v>
      </x:c>
      <x:c r="E7" s="104" t="n">
        <x:f>(T7*Weights_Method!$B$17+U7*Weights_Method!$B$18+V7*Weights_Method!$B$19+W7*Weights_Method!$B$20)/SUM(Weights_Method!$B$17:$B$20)</x:f>
        <x:v>51.53061224489796</x:v>
      </x:c>
      <x:c r="F7" s="100" t="str">
        <x:f>IF(C7&gt;=Weights_Method!$E$5,Weights_Method!$D$5,IF(C7&gt;=Weights_Method!$E$6,Weights_Method!$D$6,IF(C7&gt;=Weights_Method!$E$7,Weights_Method!$D$7,IF(C7&gt;=Weights_Method!$E$8,Weights_Method!$D$8,Weights_Method!$D$9))))</x:f>
        <x:v>สูง</x:v>
      </x:c>
      <x:c r="G7" s="106" t="n">
        <x:f>Raw_Data!J7/Raw_Data!C7*1000</x:f>
        <x:v>14.89458005705203</x:v>
      </x:c>
      <x:c r="H7" s="106" t="n">
        <x:f>Raw_Data!K7/Raw_Data!C7</x:f>
        <x:v>125499.38850117367</x:v>
      </x:c>
      <x:c r="I7" s="106" t="n">
        <x:f>MIN(H7,Weights_Method!$B$23)</x:f>
        <x:v>125499.38850117367</x:v>
      </x:c>
      <x:c r="J7" s="108" t="n">
        <x:f>Raw_Data!L7</x:f>
        <x:v>0.8094248244037505</x:v>
      </x:c>
      <x:c r="K7" s="106" t="n">
        <x:f>Raw_Data!C7/Raw_Data!D7</x:f>
        <x:v>6319.497106365995</x:v>
      </x:c>
      <x:c r="L7" s="106" t="n">
        <x:f>Raw_Data!F7/Raw_Data!E7*100</x:f>
        <x:v>77.27272727272727</x:v>
      </x:c>
      <x:c r="M7" s="106" t="n">
        <x:f>Raw_Data!B7/Raw_Data!C7</x:f>
        <x:v>0.8837591183250703</x:v>
      </x:c>
      <x:c r="N7" s="106" t="n">
        <x:f>Raw_Data!H7/Raw_Data!B7</x:f>
        <x:v>0.012494342409299888</x:v>
      </x:c>
      <x:c r="O7" s="106" t="n">
        <x:f>Raw_Data!I7/Raw_Data!C7*10000</x:f>
        <x:v>9.368322438711171</x:v>
      </x:c>
      <x:c r="P7" s="104" t="n">
        <x:f>(RANK.EQ(G7,$G$2:$G$51,1)-1)/(COUNT($G$2:$G$51)-1)*100</x:f>
        <x:v>93.87755102040816</x:v>
      </x:c>
      <x:c r="Q7" s="104" t="n">
        <x:f>(RANK.EQ(I7,$I$2:$I$51,1)-1)/(COUNT($I$2:$I$51)-1)*100</x:f>
        <x:v>93.87755102040816</x:v>
      </x:c>
      <x:c r="R7" s="104" t="n">
        <x:f>(RANK.EQ(J7,$J$2:$J$51,1)-1)/(COUNT($J$2:$J$51)-1)*100</x:f>
        <x:v>63.26530612244898</x:v>
      </x:c>
      <x:c r="S7" s="104" t="n">
        <x:f>(RANK.EQ(K7,$K$2:$K$51,1)-1)/(COUNT($K$2:$K$51)-1)*100</x:f>
        <x:v>79.59183673469387</x:v>
      </x:c>
      <x:c r="T7" s="104" t="n">
        <x:f>(RANK.EQ(L7,$L$2:$L$51,1)-1)/(COUNT($L$2:$L$51)-1)*100</x:f>
        <x:v>79.59183673469387</x:v>
      </x:c>
      <x:c r="U7" s="104" t="n">
        <x:f>(RANK.EQ(M7,$M$2:$M$51,1)-1)/(COUNT($M$2:$M$51)-1)*100</x:f>
        <x:v>0</x:v>
      </x:c>
      <x:c r="V7" s="104" t="n">
        <x:f>(RANK.EQ(N7,$N$2:$N$51,0)-1)/(COUNT($N$2:$N$51)-1)*100</x:f>
        <x:v>95.91836734693877</x:v>
      </x:c>
      <x:c r="W7" s="104" t="n">
        <x:f>(RANK.EQ(O7,$O$2:$O$51,1)-1)/(COUNT($O$2:$O$51)-1)*100</x:f>
        <x:v>30.612244897959183</x:v>
      </x:c>
      <x:c r="X7" s="110" t="n">
        <x:f>COUNT(Raw_Data!B7:L7)/11</x:f>
        <x:v>1</x:v>
      </x:c>
    </x:row>
    <x:row r="8">
      <x:c r="A8" s="102" t="n">
        <x:f>RANK.EQ(C8,$C$2:$C$51,0)</x:f>
        <x:v>7</x:v>
      </x:c>
      <x:c r="B8" s="100" t="str">
        <x:v>บางนา</x:v>
      </x:c>
      <x:c r="C8" s="104" t="n">
        <x:f>(D8*Weights_Method!$B$5+(100-E8)*Weights_Method!$B$6)/SUM(Weights_Method!$B$5:$B$6)</x:f>
        <x:v>65.05102040816325</x:v>
      </x:c>
      <x:c r="D8" s="104" t="n">
        <x:f>(P8*Weights_Method!$B$10+Q8*Weights_Method!$B$11+R8*Weights_Method!$B$12+S8*Weights_Method!$B$13)/SUM(Weights_Method!$B$10:$B$13)</x:f>
        <x:v>65.81632653061224</x:v>
      </x:c>
      <x:c r="E8" s="104" t="n">
        <x:f>(T8*Weights_Method!$B$17+U8*Weights_Method!$B$18+V8*Weights_Method!$B$19+W8*Weights_Method!$B$20)/SUM(Weights_Method!$B$17:$B$20)</x:f>
        <x:v>35.714285714285715</x:v>
      </x:c>
      <x:c r="F8" s="100" t="str">
        <x:f>IF(C8&gt;=Weights_Method!$E$5,Weights_Method!$D$5,IF(C8&gt;=Weights_Method!$E$6,Weights_Method!$D$6,IF(C8&gt;=Weights_Method!$E$7,Weights_Method!$D$7,IF(C8&gt;=Weights_Method!$E$8,Weights_Method!$D$8,Weights_Method!$D$9))))</x:f>
        <x:v>สูง</x:v>
      </x:c>
      <x:c r="G8" s="106" t="n">
        <x:f>Raw_Data!J8/Raw_Data!C8*1000</x:f>
        <x:v>7.304480846452929</x:v>
      </x:c>
      <x:c r="H8" s="106" t="n">
        <x:f>Raw_Data!K8/Raw_Data!C8</x:f>
        <x:v>46302.89757154694</x:v>
      </x:c>
      <x:c r="I8" s="106" t="n">
        <x:f>MIN(H8,Weights_Method!$B$23)</x:f>
        <x:v>46302.89757154694</x:v>
      </x:c>
      <x:c r="J8" s="108" t="n">
        <x:f>Raw_Data!L8</x:f>
        <x:v>0.8108173333582834</x:v>
      </x:c>
      <x:c r="K8" s="106" t="n">
        <x:f>Raw_Data!C8/Raw_Data!D8</x:f>
        <x:v>4175.049230932992</x:v>
      </x:c>
      <x:c r="L8" s="106" t="n">
        <x:f>Raw_Data!F8/Raw_Data!E8*100</x:f>
        <x:v>16.129032258064516</x:v>
      </x:c>
      <x:c r="M8" s="106" t="n">
        <x:f>Raw_Data!B8/Raw_Data!C8</x:f>
        <x:v>1.0835744789342852</x:v>
      </x:c>
      <x:c r="N8" s="106" t="n">
        <x:f>Raw_Data!H8/Raw_Data!B8</x:f>
        <x:v>0.0200938812484559</x:v>
      </x:c>
      <x:c r="O8" s="106" t="n">
        <x:f>Raw_Data!I8/Raw_Data!C8*10000</x:f>
        <x:v>8.158582446299956</x:v>
      </x:c>
      <x:c r="P8" s="104" t="n">
        <x:f>(RANK.EQ(G8,$G$2:$G$51,1)-1)/(COUNT($G$2:$G$51)-1)*100</x:f>
        <x:v>48.97959183673469</x:v>
      </x:c>
      <x:c r="Q8" s="104" t="n">
        <x:f>(RANK.EQ(I8,$I$2:$I$51,1)-1)/(COUNT($I$2:$I$51)-1)*100</x:f>
        <x:v>83.6734693877551</x:v>
      </x:c>
      <x:c r="R8" s="104" t="n">
        <x:f>(RANK.EQ(J8,$J$2:$J$51,1)-1)/(COUNT($J$2:$J$51)-1)*100</x:f>
        <x:v>67.3469387755102</x:v>
      </x:c>
      <x:c r="S8" s="104" t="n">
        <x:f>(RANK.EQ(K8,$K$2:$K$51,1)-1)/(COUNT($K$2:$K$51)-1)*100</x:f>
        <x:v>63.26530612244898</x:v>
      </x:c>
      <x:c r="T8" s="104" t="n">
        <x:f>(RANK.EQ(L8,$L$2:$L$51,1)-1)/(COUNT($L$2:$L$51)-1)*100</x:f>
        <x:v>32.6530612244898</x:v>
      </x:c>
      <x:c r="U8" s="104" t="n">
        <x:f>(RANK.EQ(M8,$M$2:$M$51,1)-1)/(COUNT($M$2:$M$51)-1)*100</x:f>
        <x:v>6.122448979591836</x:v>
      </x:c>
      <x:c r="V8" s="104" t="n">
        <x:f>(RANK.EQ(N8,$N$2:$N$51,0)-1)/(COUNT($N$2:$N$51)-1)*100</x:f>
        <x:v>89.79591836734694</x:v>
      </x:c>
      <x:c r="W8" s="104" t="n">
        <x:f>(RANK.EQ(O8,$O$2:$O$51,1)-1)/(COUNT($O$2:$O$51)-1)*100</x:f>
        <x:v>14.285714285714285</x:v>
      </x:c>
      <x:c r="X8" s="110" t="n">
        <x:f>COUNT(Raw_Data!B8:L8)/11</x:f>
        <x:v>1</x:v>
      </x:c>
    </x:row>
    <x:row r="9">
      <x:c r="A9" s="102" t="n">
        <x:f>RANK.EQ(C9,$C$2:$C$51,0)</x:f>
        <x:v>8</x:v>
      </x:c>
      <x:c r="B9" s="100" t="str">
        <x:v>สวนหลวง</x:v>
      </x:c>
      <x:c r="C9" s="104" t="n">
        <x:f>(D9*Weights_Method!$B$5+(100-E9)*Weights_Method!$B$6)/SUM(Weights_Method!$B$5:$B$6)</x:f>
        <x:v>62.75510204081633</x:v>
      </x:c>
      <x:c r="D9" s="104" t="n">
        <x:f>(P9*Weights_Method!$B$10+Q9*Weights_Method!$B$11+R9*Weights_Method!$B$12+S9*Weights_Method!$B$13)/SUM(Weights_Method!$B$10:$B$13)</x:f>
        <x:v>60.71428571428572</x:v>
      </x:c>
      <x:c r="E9" s="104" t="n">
        <x:f>(T9*Weights_Method!$B$17+U9*Weights_Method!$B$18+V9*Weights_Method!$B$19+W9*Weights_Method!$B$20)/SUM(Weights_Method!$B$17:$B$20)</x:f>
        <x:v>35.20408163265306</x:v>
      </x:c>
      <x:c r="F9" s="100" t="str">
        <x:f>IF(C9&gt;=Weights_Method!$E$5,Weights_Method!$D$5,IF(C9&gt;=Weights_Method!$E$6,Weights_Method!$D$6,IF(C9&gt;=Weights_Method!$E$7,Weights_Method!$D$7,IF(C9&gt;=Weights_Method!$E$8,Weights_Method!$D$8,Weights_Method!$D$9))))</x:f>
        <x:v>สูง</x:v>
      </x:c>
      <x:c r="G9" s="106" t="n">
        <x:f>Raw_Data!J9/Raw_Data!C9*1000</x:f>
        <x:v>9.399154659879036</x:v>
      </x:c>
      <x:c r="H9" s="106" t="n">
        <x:f>Raw_Data!K9/Raw_Data!C9</x:f>
        <x:v>244229.93484809564</x:v>
      </x:c>
      <x:c r="I9" s="106" t="n">
        <x:f>MIN(H9,Weights_Method!$B$23)</x:f>
        <x:v>182574.98589423014</x:v>
      </x:c>
      <x:c r="J9" s="108" t="n">
        <x:f>Raw_Data!L9</x:f>
        <x:v>0.7694089886794045</x:v>
      </x:c>
      <x:c r="K9" s="106" t="n">
        <x:f>Raw_Data!C9/Raw_Data!D9</x:f>
        <x:v>3617.1129318354588</x:v>
      </x:c>
      <x:c r="L9" s="106" t="n">
        <x:f>Raw_Data!F9/Raw_Data!E9*100</x:f>
        <x:v>4.444444444444445</x:v>
      </x:c>
      <x:c r="M9" s="106" t="n">
        <x:f>Raw_Data!B9/Raw_Data!C9</x:f>
        <x:v>1.440872895406674</x:v>
      </x:c>
      <x:c r="N9" s="106" t="n">
        <x:f>Raw_Data!H9/Raw_Data!B9</x:f>
        <x:v>1.7545966532960577</x:v>
      </x:c>
      <x:c r="O9" s="106" t="n">
        <x:f>Raw_Data!I9/Raw_Data!C9*10000</x:f>
        <x:v>15.529038133713192</x:v>
      </x:c>
      <x:c r="P9" s="104" t="n">
        <x:f>(RANK.EQ(G9,$G$2:$G$51,1)-1)/(COUNT($G$2:$G$51)-1)*100</x:f>
        <x:v>77.55102040816327</x:v>
      </x:c>
      <x:c r="Q9" s="104" t="n">
        <x:f>(RANK.EQ(I9,$I$2:$I$51,1)-1)/(COUNT($I$2:$I$51)-1)*100</x:f>
        <x:v>95.91836734693877</x:v>
      </x:c>
      <x:c r="R9" s="104" t="n">
        <x:f>(RANK.EQ(J9,$J$2:$J$51,1)-1)/(COUNT($J$2:$J$51)-1)*100</x:f>
        <x:v>16.3265306122449</x:v>
      </x:c>
      <x:c r="S9" s="104" t="n">
        <x:f>(RANK.EQ(K9,$K$2:$K$51,1)-1)/(COUNT($K$2:$K$51)-1)*100</x:f>
        <x:v>53.06122448979592</x:v>
      </x:c>
      <x:c r="T9" s="104" t="n">
        <x:f>(RANK.EQ(L9,$L$2:$L$51,1)-1)/(COUNT($L$2:$L$51)-1)*100</x:f>
        <x:v>16.3265306122449</x:v>
      </x:c>
      <x:c r="U9" s="104" t="n">
        <x:f>(RANK.EQ(M9,$M$2:$M$51,1)-1)/(COUNT($M$2:$M$51)-1)*100</x:f>
        <x:v>28.57142857142857</x:v>
      </x:c>
      <x:c r="V9" s="104" t="n">
        <x:f>(RANK.EQ(N9,$N$2:$N$51,0)-1)/(COUNT($N$2:$N$51)-1)*100</x:f>
        <x:v>16.3265306122449</x:v>
      </x:c>
      <x:c r="W9" s="104" t="n">
        <x:f>(RANK.EQ(O9,$O$2:$O$51,1)-1)/(COUNT($O$2:$O$51)-1)*100</x:f>
        <x:v>79.59183673469387</x:v>
      </x:c>
      <x:c r="X9" s="110" t="n">
        <x:f>COUNT(Raw_Data!B9:L9)/11</x:f>
        <x:v>1</x:v>
      </x:c>
    </x:row>
    <x:row r="10">
      <x:c r="A10" s="102" t="n">
        <x:f>RANK.EQ(C10,$C$2:$C$51,0)</x:f>
        <x:v>9</x:v>
      </x:c>
      <x:c r="B10" s="100" t="str">
        <x:v>ยานนาวา</x:v>
      </x:c>
      <x:c r="C10" s="104" t="n">
        <x:f>(D10*Weights_Method!$B$5+(100-E10)*Weights_Method!$B$6)/SUM(Weights_Method!$B$5:$B$6)</x:f>
        <x:v>61.22448979591836</x:v>
      </x:c>
      <x:c r="D10" s="104" t="n">
        <x:f>(P10*Weights_Method!$B$10+Q10*Weights_Method!$B$11+R10*Weights_Method!$B$12+S10*Weights_Method!$B$13)/SUM(Weights_Method!$B$10:$B$13)</x:f>
        <x:v>60.20408163265306</x:v>
      </x:c>
      <x:c r="E10" s="104" t="n">
        <x:f>(T10*Weights_Method!$B$17+U10*Weights_Method!$B$18+V10*Weights_Method!$B$19+W10*Weights_Method!$B$20)/SUM(Weights_Method!$B$17:$B$20)</x:f>
        <x:v>37.75510204081633</x:v>
      </x:c>
      <x:c r="F10" s="100" t="str">
        <x:f>IF(C10&gt;=Weights_Method!$E$5,Weights_Method!$D$5,IF(C10&gt;=Weights_Method!$E$6,Weights_Method!$D$6,IF(C10&gt;=Weights_Method!$E$7,Weights_Method!$D$7,IF(C10&gt;=Weights_Method!$E$8,Weights_Method!$D$8,Weights_Method!$D$9))))</x:f>
        <x:v>สูง</x:v>
      </x:c>
      <x:c r="G10" s="106" t="n">
        <x:f>Raw_Data!J10/Raw_Data!C10*1000</x:f>
        <x:v>7.332941262956701</x:v>
      </x:c>
      <x:c r="H10" s="106" t="n">
        <x:f>Raw_Data!K10/Raw_Data!C10</x:f>
        <x:v>59746.67426303021</x:v>
      </x:c>
      <x:c r="I10" s="106" t="n">
        <x:f>MIN(H10,Weights_Method!$B$23)</x:f>
        <x:v>59746.67426303021</x:v>
      </x:c>
      <x:c r="J10" s="108" t="n">
        <x:f>Raw_Data!L10</x:f>
        <x:v>0.803382093811143</x:v>
      </x:c>
      <x:c r="K10" s="106" t="n">
        <x:f>Raw_Data!C10/Raw_Data!D10</x:f>
        <x:v>3265.6343776257354</x:v>
      </x:c>
      <x:c r="L10" s="106" t="n">
        <x:f>Raw_Data!F10/Raw_Data!E10*100</x:f>
        <x:v>70.58823529411765</x:v>
      </x:c>
      <x:c r="M10" s="106" t="n">
        <x:f>Raw_Data!B10/Raw_Data!C10</x:f>
        <x:v>1.33854664412262</x:v>
      </x:c>
      <x:c r="N10" s="106" t="n">
        <x:f>Raw_Data!H10/Raw_Data!B10</x:f>
        <x:v>0.17294358326582732</x:v>
      </x:c>
      <x:c r="O10" s="106" t="n">
        <x:f>Raw_Data!I10/Raw_Data!C10*10000</x:f>
        <x:v>7.167536572814821</x:v>
      </x:c>
      <x:c r="P10" s="104" t="n">
        <x:f>(RANK.EQ(G10,$G$2:$G$51,1)-1)/(COUNT($G$2:$G$51)-1)*100</x:f>
        <x:v>51.02040816326531</x:v>
      </x:c>
      <x:c r="Q10" s="104" t="n">
        <x:f>(RANK.EQ(I10,$I$2:$I$51,1)-1)/(COUNT($I$2:$I$51)-1)*100</x:f>
        <x:v>87.75510204081633</x:v>
      </x:c>
      <x:c r="R10" s="104" t="n">
        <x:f>(RANK.EQ(J10,$J$2:$J$51,1)-1)/(COUNT($J$2:$J$51)-1)*100</x:f>
        <x:v>55.10204081632652</x:v>
      </x:c>
      <x:c r="S10" s="104" t="n">
        <x:f>(RANK.EQ(K10,$K$2:$K$51,1)-1)/(COUNT($K$2:$K$51)-1)*100</x:f>
        <x:v>46.93877551020408</x:v>
      </x:c>
      <x:c r="T10" s="104" t="n">
        <x:f>(RANK.EQ(L10,$L$2:$L$51,1)-1)/(COUNT($L$2:$L$51)-1)*100</x:f>
        <x:v>71.42857142857143</x:v>
      </x:c>
      <x:c r="U10" s="104" t="n">
        <x:f>(RANK.EQ(M10,$M$2:$M$51,1)-1)/(COUNT($M$2:$M$51)-1)*100</x:f>
        <x:v>20.408163265306122</x:v>
      </x:c>
      <x:c r="V10" s="104" t="n">
        <x:f>(RANK.EQ(N10,$N$2:$N$51,0)-1)/(COUNT($N$2:$N$51)-1)*100</x:f>
        <x:v>55.10204081632652</x:v>
      </x:c>
      <x:c r="W10" s="104" t="n">
        <x:f>(RANK.EQ(O10,$O$2:$O$51,1)-1)/(COUNT($O$2:$O$51)-1)*100</x:f>
        <x:v>4.081632653061225</x:v>
      </x:c>
      <x:c r="X10" s="110" t="n">
        <x:f>COUNT(Raw_Data!B10:L10)/11</x:f>
        <x:v>1</x:v>
      </x:c>
    </x:row>
    <x:row r="11">
      <x:c r="A11" s="102" t="n">
        <x:f>RANK.EQ(C11,$C$2:$C$51,0)</x:f>
        <x:v>10</x:v>
      </x:c>
      <x:c r="B11" s="100" t="str">
        <x:v>พญาไท</x:v>
      </x:c>
      <x:c r="C11" s="104" t="n">
        <x:f>(D11*Weights_Method!$B$5+(100-E11)*Weights_Method!$B$6)/SUM(Weights_Method!$B$5:$B$6)</x:f>
        <x:v>60.714285714285715</x:v>
      </x:c>
      <x:c r="D11" s="104" t="n">
        <x:f>(P11*Weights_Method!$B$10+Q11*Weights_Method!$B$11+R11*Weights_Method!$B$12+S11*Weights_Method!$B$13)/SUM(Weights_Method!$B$10:$B$13)</x:f>
        <x:v>65.81632653061224</x:v>
      </x:c>
      <x:c r="E11" s="104" t="n">
        <x:f>(T11*Weights_Method!$B$17+U11*Weights_Method!$B$18+V11*Weights_Method!$B$19+W11*Weights_Method!$B$20)/SUM(Weights_Method!$B$17:$B$20)</x:f>
        <x:v>44.38775510204081</x:v>
      </x:c>
      <x:c r="F11" s="100" t="str">
        <x:f>IF(C11&gt;=Weights_Method!$E$5,Weights_Method!$D$5,IF(C11&gt;=Weights_Method!$E$6,Weights_Method!$D$6,IF(C11&gt;=Weights_Method!$E$7,Weights_Method!$D$7,IF(C11&gt;=Weights_Method!$E$8,Weights_Method!$D$8,Weights_Method!$D$9))))</x:f>
        <x:v>สูง</x:v>
      </x:c>
      <x:c r="G11" s="106" t="n">
        <x:f>Raw_Data!J11/Raw_Data!C11*1000</x:f>
        <x:v>7.499570225201994</x:v>
      </x:c>
      <x:c r="H11" s="106" t="n">
        <x:f>Raw_Data!K11/Raw_Data!C11</x:f>
        <x:v>38806.472408457965</x:v>
      </x:c>
      <x:c r="I11" s="106" t="n">
        <x:f>MIN(H11,Weights_Method!$B$23)</x:f>
        <x:v>38806.472408457965</x:v>
      </x:c>
      <x:c r="J11" s="108" t="n">
        <x:f>Raw_Data!L11</x:f>
        <x:v>0.8067166729847708</x:v>
      </x:c>
      <x:c r="K11" s="106" t="n">
        <x:f>Raw_Data!C11/Raw_Data!D11</x:f>
        <x:v>4850.026055237102</x:v>
      </x:c>
      <x:c r="L11" s="106" t="n">
        <x:f>Raw_Data!F11/Raw_Data!E11*100</x:f>
        <x:v>31.818181818181817</x:v>
      </x:c>
      <x:c r="M11" s="106" t="n">
        <x:f>Raw_Data!B11/Raw_Data!C11</x:f>
        <x:v>1.345882757435104</x:v>
      </x:c>
      <x:c r="N11" s="106" t="n">
        <x:f>Raw_Data!H11/Raw_Data!B11</x:f>
        <x:v>0.082034742623579</x:v>
      </x:c>
      <x:c r="O11" s="106" t="n">
        <x:f>Raw_Data!I11/Raw_Data!C11*10000</x:f>
        <x:v>9.455045556128589</x:v>
      </x:c>
      <x:c r="P11" s="104" t="n">
        <x:f>(RANK.EQ(G11,$G$2:$G$51,1)-1)/(COUNT($G$2:$G$51)-1)*100</x:f>
        <x:v>55.10204081632652</x:v>
      </x:c>
      <x:c r="Q11" s="104" t="n">
        <x:f>(RANK.EQ(I11,$I$2:$I$51,1)-1)/(COUNT($I$2:$I$51)-1)*100</x:f>
        <x:v>77.55102040816327</x:v>
      </x:c>
      <x:c r="R11" s="104" t="n">
        <x:f>(RANK.EQ(J11,$J$2:$J$51,1)-1)/(COUNT($J$2:$J$51)-1)*100</x:f>
        <x:v>59.183673469387756</x:v>
      </x:c>
      <x:c r="S11" s="104" t="n">
        <x:f>(RANK.EQ(K11,$K$2:$K$51,1)-1)/(COUNT($K$2:$K$51)-1)*100</x:f>
        <x:v>71.42857142857143</x:v>
      </x:c>
      <x:c r="T11" s="104" t="n">
        <x:f>(RANK.EQ(L11,$L$2:$L$51,1)-1)/(COUNT($L$2:$L$51)-1)*100</x:f>
        <x:v>53.06122448979592</x:v>
      </x:c>
      <x:c r="U11" s="104" t="n">
        <x:f>(RANK.EQ(M11,$M$2:$M$51,1)-1)/(COUNT($M$2:$M$51)-1)*100</x:f>
        <x:v>22.448979591836736</x:v>
      </x:c>
      <x:c r="V11" s="104" t="n">
        <x:f>(RANK.EQ(N11,$N$2:$N$51,0)-1)/(COUNT($N$2:$N$51)-1)*100</x:f>
        <x:v>67.3469387755102</x:v>
      </x:c>
      <x:c r="W11" s="104" t="n">
        <x:f>(RANK.EQ(O11,$O$2:$O$51,1)-1)/(COUNT($O$2:$O$51)-1)*100</x:f>
        <x:v>34.69387755102041</x:v>
      </x:c>
      <x:c r="X11" s="110" t="n">
        <x:f>COUNT(Raw_Data!B11:L11)/11</x:f>
        <x:v>1</x:v>
      </x:c>
    </x:row>
    <x:row r="12">
      <x:c r="A12" s="102" t="n">
        <x:f>RANK.EQ(C12,$C$2:$C$51,0)</x:f>
        <x:v>11</x:v>
      </x:c>
      <x:c r="B12" s="100" t="str">
        <x:v>ป้อมปราบศัตรูพ่าย</x:v>
      </x:c>
      <x:c r="C12" s="104" t="n">
        <x:f>(D12*Weights_Method!$B$5+(100-E12)*Weights_Method!$B$6)/SUM(Weights_Method!$B$5:$B$6)</x:f>
        <x:v>59.94897959183673</x:v>
      </x:c>
      <x:c r="D12" s="104" t="n">
        <x:f>(P12*Weights_Method!$B$10+Q12*Weights_Method!$B$11+R12*Weights_Method!$B$12+S12*Weights_Method!$B$13)/SUM(Weights_Method!$B$10:$B$13)</x:f>
        <x:v>64.79591836734694</x:v>
      </x:c>
      <x:c r="E12" s="104" t="n">
        <x:f>(T12*Weights_Method!$B$17+U12*Weights_Method!$B$18+V12*Weights_Method!$B$19+W12*Weights_Method!$B$20)/SUM(Weights_Method!$B$17:$B$20)</x:f>
        <x:v>44.89795918367347</x:v>
      </x:c>
      <x:c r="F12" s="100" t="str">
        <x:f>IF(C12&gt;=Weights_Method!$E$5,Weights_Method!$D$5,IF(C12&gt;=Weights_Method!$E$6,Weights_Method!$D$6,IF(C12&gt;=Weights_Method!$E$7,Weights_Method!$D$7,IF(C12&gt;=Weights_Method!$E$8,Weights_Method!$D$8,Weights_Method!$D$9))))</x:f>
        <x:v>ปานกลาง</x:v>
      </x:c>
      <x:c r="G12" s="106" t="n">
        <x:f>Raw_Data!J12/Raw_Data!C12*1000</x:f>
        <x:v>5.401824389746726</x:v>
      </x:c>
      <x:c r="H12" s="106" t="n">
        <x:f>Raw_Data!K12/Raw_Data!C12</x:f>
        <x:v>25337.104418284667</x:v>
      </x:c>
      <x:c r="I12" s="106" t="n">
        <x:f>MIN(H12,Weights_Method!$B$23)</x:f>
        <x:v>25337.104418284667</x:v>
      </x:c>
      <x:c r="J12" s="108" t="n">
        <x:f>Raw_Data!L12</x:f>
        <x:v>0.8155504367579659</x:v>
      </x:c>
      <x:c r="K12" s="106" t="n">
        <x:f>Raw_Data!C12/Raw_Data!D12</x:f>
        <x:v>10162.092180217503</x:v>
      </x:c>
      <x:c r="L12" s="106" t="n">
        <x:f>Raw_Data!F12/Raw_Data!E12*100</x:f>
        <x:v>0</x:v>
      </x:c>
      <x:c r="M12" s="106" t="n">
        <x:f>Raw_Data!B12/Raw_Data!C12</x:f>
        <x:v>1.880701217958518</x:v>
      </x:c>
      <x:c r="N12" s="106" t="n">
        <x:f>Raw_Data!H12/Raw_Data!B12</x:f>
        <x:v>0.17764530551415797</x:v>
      </x:c>
      <x:c r="O12" s="106" t="n">
        <x:f>Raw_Data!I12/Raw_Data!C12*10000</x:f>
        <x:v>11.720939713601386</x:v>
      </x:c>
      <x:c r="P12" s="104" t="n">
        <x:f>(RANK.EQ(G12,$G$2:$G$51,1)-1)/(COUNT($G$2:$G$51)-1)*100</x:f>
        <x:v>22.448979591836736</x:v>
      </x:c>
      <x:c r="Q12" s="104" t="n">
        <x:f>(RANK.EQ(I12,$I$2:$I$51,1)-1)/(COUNT($I$2:$I$51)-1)*100</x:f>
        <x:v>65.3061224489796</x:v>
      </x:c>
      <x:c r="R12" s="104" t="n">
        <x:f>(RANK.EQ(J12,$J$2:$J$51,1)-1)/(COUNT($J$2:$J$51)-1)*100</x:f>
        <x:v>71.42857142857143</x:v>
      </x:c>
      <x:c r="S12" s="104" t="n">
        <x:f>(RANK.EQ(K12,$K$2:$K$51,1)-1)/(COUNT($K$2:$K$51)-1)*100</x:f>
        <x:v>100</x:v>
      </x:c>
      <x:c r="T12" s="104" t="n">
        <x:f>(RANK.EQ(L12,$L$2:$L$51,1)-1)/(COUNT($L$2:$L$51)-1)*100</x:f>
        <x:v>0</x:v>
      </x:c>
      <x:c r="U12" s="104" t="n">
        <x:f>(RANK.EQ(M12,$M$2:$M$51,1)-1)/(COUNT($M$2:$M$51)-1)*100</x:f>
        <x:v>63.26530612244898</x:v>
      </x:c>
      <x:c r="V12" s="104" t="n">
        <x:f>(RANK.EQ(N12,$N$2:$N$51,0)-1)/(COUNT($N$2:$N$51)-1)*100</x:f>
        <x:v>53.06122448979592</x:v>
      </x:c>
      <x:c r="W12" s="104" t="n">
        <x:f>(RANK.EQ(O12,$O$2:$O$51,1)-1)/(COUNT($O$2:$O$51)-1)*100</x:f>
        <x:v>63.26530612244898</x:v>
      </x:c>
      <x:c r="X12" s="110" t="n">
        <x:f>COUNT(Raw_Data!B12:L12)/11</x:f>
        <x:v>1</x:v>
      </x:c>
    </x:row>
    <x:row r="13">
      <x:c r="A13" s="102" t="n">
        <x:f>RANK.EQ(C13,$C$2:$C$51,0)</x:f>
        <x:v>12</x:v>
      </x:c>
      <x:c r="B13" s="100" t="str">
        <x:v>บึงกุ่ม</x:v>
      </x:c>
      <x:c r="C13" s="104" t="n">
        <x:f>(D13*Weights_Method!$B$5+(100-E13)*Weights_Method!$B$6)/SUM(Weights_Method!$B$5:$B$6)</x:f>
        <x:v>58.673469387755105</x:v>
      </x:c>
      <x:c r="D13" s="104" t="n">
        <x:f>(P13*Weights_Method!$B$10+Q13*Weights_Method!$B$11+R13*Weights_Method!$B$12+S13*Weights_Method!$B$13)/SUM(Weights_Method!$B$10:$B$13)</x:f>
        <x:v>61.73469387755102</x:v>
      </x:c>
      <x:c r="E13" s="104" t="n">
        <x:f>(T13*Weights_Method!$B$17+U13*Weights_Method!$B$18+V13*Weights_Method!$B$19+W13*Weights_Method!$B$20)/SUM(Weights_Method!$B$17:$B$20)</x:f>
        <x:v>44.38775510204081</x:v>
      </x:c>
      <x:c r="F13" s="100" t="str">
        <x:f>IF(C13&gt;=Weights_Method!$E$5,Weights_Method!$D$5,IF(C13&gt;=Weights_Method!$E$6,Weights_Method!$D$6,IF(C13&gt;=Weights_Method!$E$7,Weights_Method!$D$7,IF(C13&gt;=Weights_Method!$E$8,Weights_Method!$D$8,Weights_Method!$D$9))))</x:f>
        <x:v>ปานกลาง</x:v>
      </x:c>
      <x:c r="G13" s="106" t="n">
        <x:f>Raw_Data!J13/Raw_Data!C13*1000</x:f>
        <x:v>10.278792887488539</x:v>
      </x:c>
      <x:c r="H13" s="106" t="n">
        <x:f>Raw_Data!K13/Raw_Data!C13</x:f>
        <x:v>26165.11150424194</x:v>
      </x:c>
      <x:c r="I13" s="106" t="n">
        <x:f>MIN(H13,Weights_Method!$B$23)</x:f>
        <x:v>26165.11150424194</x:v>
      </x:c>
      <x:c r="J13" s="108" t="n">
        <x:f>Raw_Data!L13</x:f>
        <x:v>0.8013774464238671</x:v>
      </x:c>
      <x:c r="K13" s="106" t="n">
        <x:f>Raw_Data!C13/Raw_Data!D13</x:f>
        <x:v>3185.430463576159</x:v>
      </x:c>
      <x:c r="L13" s="106" t="n">
        <x:f>Raw_Data!F13/Raw_Data!E13*100</x:f>
        <x:v>40.54054054054054</x:v>
      </x:c>
      <x:c r="M13" s="106" t="n">
        <x:f>Raw_Data!B13/Raw_Data!C13</x:f>
        <x:v>1.7575702793094097</x:v>
      </x:c>
      <x:c r="N13" s="106" t="n">
        <x:f>Raw_Data!H13/Raw_Data!B13</x:f>
        <x:v>3.412554735944985</x:v>
      </x:c>
      <x:c r="O13" s="106" t="n">
        <x:f>Raw_Data!I13/Raw_Data!C13*10000</x:f>
        <x:v>11.105228496532844</x:v>
      </x:c>
      <x:c r="P13" s="104" t="n">
        <x:f>(RANK.EQ(G13,$G$2:$G$51,1)-1)/(COUNT($G$2:$G$51)-1)*100</x:f>
        <x:v>81.63265306122449</x:v>
      </x:c>
      <x:c r="Q13" s="104" t="n">
        <x:f>(RANK.EQ(I13,$I$2:$I$51,1)-1)/(COUNT($I$2:$I$51)-1)*100</x:f>
        <x:v>67.3469387755102</x:v>
      </x:c>
      <x:c r="R13" s="104" t="n">
        <x:f>(RANK.EQ(J13,$J$2:$J$51,1)-1)/(COUNT($J$2:$J$51)-1)*100</x:f>
        <x:v>53.06122448979592</x:v>
      </x:c>
      <x:c r="S13" s="104" t="n">
        <x:f>(RANK.EQ(K13,$K$2:$K$51,1)-1)/(COUNT($K$2:$K$51)-1)*100</x:f>
        <x:v>44.89795918367347</x:v>
      </x:c>
      <x:c r="T13" s="104" t="n">
        <x:f>(RANK.EQ(L13,$L$2:$L$51,1)-1)/(COUNT($L$2:$L$51)-1)*100</x:f>
        <x:v>59.183673469387756</x:v>
      </x:c>
      <x:c r="U13" s="104" t="n">
        <x:f>(RANK.EQ(M13,$M$2:$M$51,1)-1)/(COUNT($M$2:$M$51)-1)*100</x:f>
        <x:v>53.06122448979592</x:v>
      </x:c>
      <x:c r="V13" s="104" t="n">
        <x:f>(RANK.EQ(N13,$N$2:$N$51,0)-1)/(COUNT($N$2:$N$51)-1)*100</x:f>
        <x:v>12.244897959183673</x:v>
      </x:c>
      <x:c r="W13" s="104" t="n">
        <x:f>(RANK.EQ(O13,$O$2:$O$51,1)-1)/(COUNT($O$2:$O$51)-1)*100</x:f>
        <x:v>53.06122448979592</x:v>
      </x:c>
      <x:c r="X13" s="110" t="n">
        <x:f>COUNT(Raw_Data!B13:L13)/11</x:f>
        <x:v>1</x:v>
      </x:c>
    </x:row>
    <x:row r="14">
      <x:c r="A14" s="102" t="n">
        <x:f>RANK.EQ(C14,$C$2:$C$51,0)</x:f>
        <x:v>13</x:v>
      </x:c>
      <x:c r="B14" s="100" t="str">
        <x:v>ลาดพร้าว</x:v>
      </x:c>
      <x:c r="C14" s="104" t="n">
        <x:f>(D14*Weights_Method!$B$5+(100-E14)*Weights_Method!$B$6)/SUM(Weights_Method!$B$5:$B$6)</x:f>
        <x:v>58.41836734693878</x:v>
      </x:c>
      <x:c r="D14" s="104" t="n">
        <x:f>(P14*Weights_Method!$B$10+Q14*Weights_Method!$B$11+R14*Weights_Method!$B$12+S14*Weights_Method!$B$13)/SUM(Weights_Method!$B$10:$B$13)</x:f>
        <x:v>55.61224489795919</x:v>
      </x:c>
      <x:c r="E14" s="104" t="n">
        <x:f>(T14*Weights_Method!$B$17+U14*Weights_Method!$B$18+V14*Weights_Method!$B$19+W14*Weights_Method!$B$20)/SUM(Weights_Method!$B$17:$B$20)</x:f>
        <x:v>38.775510204081634</x:v>
      </x:c>
      <x:c r="F14" s="100" t="str">
        <x:f>IF(C14&gt;=Weights_Method!$E$5,Weights_Method!$D$5,IF(C14&gt;=Weights_Method!$E$6,Weights_Method!$D$6,IF(C14&gt;=Weights_Method!$E$7,Weights_Method!$D$7,IF(C14&gt;=Weights_Method!$E$8,Weights_Method!$D$8,Weights_Method!$D$9))))</x:f>
        <x:v>ปานกลาง</x:v>
      </x:c>
      <x:c r="G14" s="106" t="n">
        <x:f>Raw_Data!J14/Raw_Data!C14*1000</x:f>
        <x:v>12.299940723177237</x:v>
      </x:c>
      <x:c r="H14" s="106" t="n">
        <x:f>Raw_Data!K14/Raw_Data!C14</x:f>
        <x:v>27358.147105315154</x:v>
      </x:c>
      <x:c r="I14" s="106" t="n">
        <x:f>MIN(H14,Weights_Method!$B$23)</x:f>
        <x:v>27358.147105315154</x:v>
      </x:c>
      <x:c r="J14" s="108" t="n">
        <x:f>Raw_Data!L14</x:f>
        <x:v>0.7720781023152504</x:v>
      </x:c>
      <x:c r="K14" s="106" t="n">
        <x:f>Raw_Data!C14/Raw_Data!D14</x:f>
        <x:v>2740.9847903597056</x:v>
      </x:c>
      <x:c r="L14" s="106" t="n">
        <x:f>Raw_Data!F14/Raw_Data!E14*100</x:f>
        <x:v>11.11111111111111</x:v>
      </x:c>
      <x:c r="M14" s="106" t="n">
        <x:f>Raw_Data!B14/Raw_Data!C14</x:f>
        <x:v>1.8455838767042088</x:v>
      </x:c>
      <x:c r="N14" s="106" t="n">
        <x:f>Raw_Data!H14/Raw_Data!B14</x:f>
        <x:v>0.4705672430098317</x:v>
      </x:c>
      <x:c r="O14" s="106" t="n">
        <x:f>Raw_Data!I14/Raw_Data!C14*10000</x:f>
        <x:v>8.891523414344991</x:v>
      </x:c>
      <x:c r="P14" s="104" t="n">
        <x:f>(RANK.EQ(G14,$G$2:$G$51,1)-1)/(COUNT($G$2:$G$51)-1)*100</x:f>
        <x:v>91.83673469387756</x:v>
      </x:c>
      <x:c r="Q14" s="104" t="n">
        <x:f>(RANK.EQ(I14,$I$2:$I$51,1)-1)/(COUNT($I$2:$I$51)-1)*100</x:f>
        <x:v>73.46938775510205</x:v>
      </x:c>
      <x:c r="R14" s="104" t="n">
        <x:f>(RANK.EQ(J14,$J$2:$J$51,1)-1)/(COUNT($J$2:$J$51)-1)*100</x:f>
        <x:v>20.408163265306122</x:v>
      </x:c>
      <x:c r="S14" s="104" t="n">
        <x:f>(RANK.EQ(K14,$K$2:$K$51,1)-1)/(COUNT($K$2:$K$51)-1)*100</x:f>
        <x:v>36.734693877551024</x:v>
      </x:c>
      <x:c r="T14" s="104" t="n">
        <x:f>(RANK.EQ(L14,$L$2:$L$51,1)-1)/(COUNT($L$2:$L$51)-1)*100</x:f>
        <x:v>28.57142857142857</x:v>
      </x:c>
      <x:c r="U14" s="104" t="n">
        <x:f>(RANK.EQ(M14,$M$2:$M$51,1)-1)/(COUNT($M$2:$M$51)-1)*100</x:f>
        <x:v>59.183673469387756</x:v>
      </x:c>
      <x:c r="V14" s="104" t="n">
        <x:f>(RANK.EQ(N14,$N$2:$N$51,0)-1)/(COUNT($N$2:$N$51)-1)*100</x:f>
        <x:v>42.857142857142854</x:v>
      </x:c>
      <x:c r="W14" s="104" t="n">
        <x:f>(RANK.EQ(O14,$O$2:$O$51,1)-1)/(COUNT($O$2:$O$51)-1)*100</x:f>
        <x:v>24.489795918367346</x:v>
      </x:c>
      <x:c r="X14" s="110" t="n">
        <x:f>COUNT(Raw_Data!B14:L14)/11</x:f>
        <x:v>1</x:v>
      </x:c>
    </x:row>
    <x:row r="15">
      <x:c r="A15" s="102" t="n">
        <x:f>RANK.EQ(C15,$C$2:$C$51,0)</x:f>
        <x:v>15</x:v>
      </x:c>
      <x:c r="B15" s="100" t="str">
        <x:v>บางรัก</x:v>
      </x:c>
      <x:c r="C15" s="104" t="n">
        <x:f>(D15*Weights_Method!$B$5+(100-E15)*Weights_Method!$B$6)/SUM(Weights_Method!$B$5:$B$6)</x:f>
        <x:v>56.88775510204081</x:v>
      </x:c>
      <x:c r="D15" s="104" t="n">
        <x:f>(P15*Weights_Method!$B$10+Q15*Weights_Method!$B$11+R15*Weights_Method!$B$12+S15*Weights_Method!$B$13)/SUM(Weights_Method!$B$10:$B$13)</x:f>
        <x:v>70.40816326530611</x:v>
      </x:c>
      <x:c r="E15" s="104" t="n">
        <x:f>(T15*Weights_Method!$B$17+U15*Weights_Method!$B$18+V15*Weights_Method!$B$19+W15*Weights_Method!$B$20)/SUM(Weights_Method!$B$17:$B$20)</x:f>
        <x:v>56.63265306122449</x:v>
      </x:c>
      <x:c r="F15" s="100" t="str">
        <x:f>IF(C15&gt;=Weights_Method!$E$5,Weights_Method!$D$5,IF(C15&gt;=Weights_Method!$E$6,Weights_Method!$D$6,IF(C15&gt;=Weights_Method!$E$7,Weights_Method!$D$7,IF(C15&gt;=Weights_Method!$E$8,Weights_Method!$D$8,Weights_Method!$D$9))))</x:f>
        <x:v>ปานกลาง</x:v>
      </x:c>
      <x:c r="G15" s="106" t="n">
        <x:f>Raw_Data!J15/Raw_Data!C15*1000</x:f>
        <x:v>25.954198473282442</x:v>
      </x:c>
      <x:c r="H15" s="106" t="n">
        <x:f>Raw_Data!K15/Raw_Data!C15</x:f>
        <x:v>229273.20194309507</x:v>
      </x:c>
      <x:c r="I15" s="106" t="n">
        <x:f>MIN(H15,Weights_Method!$B$23)</x:f>
        <x:v>182574.98589423014</x:v>
      </x:c>
      <x:c r="J15" s="108" t="n">
        <x:f>Raw_Data!L15</x:f>
        <x:v>0.738511884190855</x:v>
      </x:c>
      <x:c r="K15" s="106" t="n">
        <x:f>Raw_Data!C15/Raw_Data!D15</x:f>
        <x:v>6507.406069364162</x:v>
      </x:c>
      <x:c r="L15" s="106" t="n">
        <x:f>Raw_Data!F15/Raw_Data!E15*100</x:f>
        <x:v>71.42857142857143</x:v>
      </x:c>
      <x:c r="M15" s="106" t="n">
        <x:f>Raw_Data!B15/Raw_Data!C15</x:f>
        <x:v>1.157557251908397</x:v>
      </x:c>
      <x:c r="N15" s="106" t="n">
        <x:f>Raw_Data!H15/Raw_Data!B15</x:f>
        <x:v>0.00959209611280305</x:v>
      </x:c>
      <x:c r="O15" s="106" t="n">
        <x:f>Raw_Data!I15/Raw_Data!C15*10000</x:f>
        <x:v>9.715475364330327</x:v>
      </x:c>
      <x:c r="P15" s="104" t="n">
        <x:f>(RANK.EQ(G15,$G$2:$G$51,1)-1)/(COUNT($G$2:$G$51)-1)*100</x:f>
        <x:v>100</x:v>
      </x:c>
      <x:c r="Q15" s="104" t="n">
        <x:f>(RANK.EQ(I15,$I$2:$I$51,1)-1)/(COUNT($I$2:$I$51)-1)*100</x:f>
        <x:v>95.91836734693877</x:v>
      </x:c>
      <x:c r="R15" s="104" t="n">
        <x:f>(RANK.EQ(J15,$J$2:$J$51,1)-1)/(COUNT($J$2:$J$51)-1)*100</x:f>
        <x:v>2.0408163265306123</x:v>
      </x:c>
      <x:c r="S15" s="104" t="n">
        <x:f>(RANK.EQ(K15,$K$2:$K$51,1)-1)/(COUNT($K$2:$K$51)-1)*100</x:f>
        <x:v>83.6734693877551</x:v>
      </x:c>
      <x:c r="T15" s="104" t="n">
        <x:f>(RANK.EQ(L15,$L$2:$L$51,1)-1)/(COUNT($L$2:$L$51)-1)*100</x:f>
        <x:v>75.51020408163265</x:v>
      </x:c>
      <x:c r="U15" s="104" t="n">
        <x:f>(RANK.EQ(M15,$M$2:$M$51,1)-1)/(COUNT($M$2:$M$51)-1)*100</x:f>
        <x:v>12.244897959183673</x:v>
      </x:c>
      <x:c r="V15" s="104" t="n">
        <x:f>(RANK.EQ(N15,$N$2:$N$51,0)-1)/(COUNT($N$2:$N$51)-1)*100</x:f>
        <x:v>97.95918367346938</x:v>
      </x:c>
      <x:c r="W15" s="104" t="n">
        <x:f>(RANK.EQ(O15,$O$2:$O$51,1)-1)/(COUNT($O$2:$O$51)-1)*100</x:f>
        <x:v>40.816326530612244</x:v>
      </x:c>
      <x:c r="X15" s="110" t="n">
        <x:f>COUNT(Raw_Data!B15:L15)/11</x:f>
        <x:v>1</x:v>
      </x:c>
    </x:row>
    <x:row r="16">
      <x:c r="A16" s="102" t="n">
        <x:f>RANK.EQ(C16,$C$2:$C$51,0)</x:f>
        <x:v>14</x:v>
      </x:c>
      <x:c r="B16" s="100" t="str">
        <x:v>ราชเทวี</x:v>
      </x:c>
      <x:c r="C16" s="104" t="n">
        <x:f>(D16*Weights_Method!$B$5+(100-E16)*Weights_Method!$B$6)/SUM(Weights_Method!$B$5:$B$6)</x:f>
        <x:v>57.14285714285714</x:v>
      </x:c>
      <x:c r="D16" s="104" t="n">
        <x:f>(P16*Weights_Method!$B$10+Q16*Weights_Method!$B$11+R16*Weights_Method!$B$12+S16*Weights_Method!$B$13)/SUM(Weights_Method!$B$10:$B$13)</x:f>
        <x:v>62.24489795918367</x:v>
      </x:c>
      <x:c r="E16" s="104" t="n">
        <x:f>(T16*Weights_Method!$B$17+U16*Weights_Method!$B$18+V16*Weights_Method!$B$19+W16*Weights_Method!$B$20)/SUM(Weights_Method!$B$17:$B$20)</x:f>
        <x:v>47.95918367346938</x:v>
      </x:c>
      <x:c r="F16" s="100" t="str">
        <x:f>IF(C16&gt;=Weights_Method!$E$5,Weights_Method!$D$5,IF(C16&gt;=Weights_Method!$E$6,Weights_Method!$D$6,IF(C16&gt;=Weights_Method!$E$7,Weights_Method!$D$7,IF(C16&gt;=Weights_Method!$E$8,Weights_Method!$D$8,Weights_Method!$D$9))))</x:f>
        <x:v>ปานกลาง</x:v>
      </x:c>
      <x:c r="G16" s="106" t="n">
        <x:f>Raw_Data!J16/Raw_Data!C16*1000</x:f>
        <x:v>6.508824795523031</x:v>
      </x:c>
      <x:c r="H16" s="106" t="n">
        <x:f>Raw_Data!K16/Raw_Data!C16</x:f>
        <x:v>16339.686612139474</x:v>
      </x:c>
      <x:c r="I16" s="106" t="n">
        <x:f>MIN(H16,Weights_Method!$B$23)</x:f>
        <x:v>16339.686612139474</x:v>
      </x:c>
      <x:c r="J16" s="108" t="n">
        <x:f>Raw_Data!L16</x:f>
        <x:v>0.8105310846696945</x:v>
      </x:c>
      <x:c r="K16" s="106" t="n">
        <x:f>Raw_Data!C16/Raw_Data!D16</x:f>
        <x:v>8149.7333707549815</x:v>
      </x:c>
      <x:c r="L16" s="106" t="n">
        <x:f>Raw_Data!F16/Raw_Data!E16*100</x:f>
        <x:v>72</x:v>
      </x:c>
      <x:c r="M16" s="106" t="n">
        <x:f>Raw_Data!B16/Raw_Data!C16</x:f>
        <x:v>1.0852346104175634</x:v>
      </x:c>
      <x:c r="N16" s="106" t="n">
        <x:f>Raw_Data!H16/Raw_Data!B16</x:f>
        <x:v>0.5291233637445458</x:v>
      </x:c>
      <x:c r="O16" s="106" t="n">
        <x:f>Raw_Data!I16/Raw_Data!C16*10000</x:f>
        <x:v>11.881188118811881</x:v>
      </x:c>
      <x:c r="P16" s="104" t="n">
        <x:f>(RANK.EQ(G16,$G$2:$G$51,1)-1)/(COUNT($G$2:$G$51)-1)*100</x:f>
        <x:v>40.816326530612244</x:v>
      </x:c>
      <x:c r="Q16" s="104" t="n">
        <x:f>(RANK.EQ(I16,$I$2:$I$51,1)-1)/(COUNT($I$2:$I$51)-1)*100</x:f>
        <x:v>46.93877551020408</x:v>
      </x:c>
      <x:c r="R16" s="104" t="n">
        <x:f>(RANK.EQ(J16,$J$2:$J$51,1)-1)/(COUNT($J$2:$J$51)-1)*100</x:f>
        <x:v>65.3061224489796</x:v>
      </x:c>
      <x:c r="S16" s="104" t="n">
        <x:f>(RANK.EQ(K16,$K$2:$K$51,1)-1)/(COUNT($K$2:$K$51)-1)*100</x:f>
        <x:v>95.91836734693877</x:v>
      </x:c>
      <x:c r="T16" s="104" t="n">
        <x:f>(RANK.EQ(L16,$L$2:$L$51,1)-1)/(COUNT($L$2:$L$51)-1)*100</x:f>
        <x:v>77.55102040816327</x:v>
      </x:c>
      <x:c r="U16" s="104" t="n">
        <x:f>(RANK.EQ(M16,$M$2:$M$51,1)-1)/(COUNT($M$2:$M$51)-1)*100</x:f>
        <x:v>8.16326530612245</x:v>
      </x:c>
      <x:c r="V16" s="104" t="n">
        <x:f>(RANK.EQ(N16,$N$2:$N$51,0)-1)/(COUNT($N$2:$N$51)-1)*100</x:f>
        <x:v>38.775510204081634</x:v>
      </x:c>
      <x:c r="W16" s="104" t="n">
        <x:f>(RANK.EQ(O16,$O$2:$O$51,1)-1)/(COUNT($O$2:$O$51)-1)*100</x:f>
        <x:v>67.3469387755102</x:v>
      </x:c>
      <x:c r="X16" s="110" t="n">
        <x:f>COUNT(Raw_Data!B16:L16)/11</x:f>
        <x:v>1</x:v>
      </x:c>
    </x:row>
    <x:row r="17">
      <x:c r="A17" s="102" t="n">
        <x:f>RANK.EQ(C17,$C$2:$C$51,0)</x:f>
        <x:v>16</x:v>
      </x:c>
      <x:c r="B17" s="100" t="str">
        <x:v>บางกะปิ</x:v>
      </x:c>
      <x:c r="C17" s="104" t="n">
        <x:f>(D17*Weights_Method!$B$5+(100-E17)*Weights_Method!$B$6)/SUM(Weights_Method!$B$5:$B$6)</x:f>
        <x:v>55.357142857142854</x:v>
      </x:c>
      <x:c r="D17" s="104" t="n">
        <x:f>(P17*Weights_Method!$B$10+Q17*Weights_Method!$B$11+R17*Weights_Method!$B$12+S17*Weights_Method!$B$13)/SUM(Weights_Method!$B$10:$B$13)</x:f>
        <x:v>51.0204081632653</x:v>
      </x:c>
      <x:c r="E17" s="104" t="n">
        <x:f>(T17*Weights_Method!$B$17+U17*Weights_Method!$B$18+V17*Weights_Method!$B$19+W17*Weights_Method!$B$20)/SUM(Weights_Method!$B$17:$B$20)</x:f>
        <x:v>40.30612244897959</x:v>
      </x:c>
      <x:c r="F17" s="100" t="str">
        <x:f>IF(C17&gt;=Weights_Method!$E$5,Weights_Method!$D$5,IF(C17&gt;=Weights_Method!$E$6,Weights_Method!$D$6,IF(C17&gt;=Weights_Method!$E$7,Weights_Method!$D$7,IF(C17&gt;=Weights_Method!$E$8,Weights_Method!$D$8,Weights_Method!$D$9))))</x:f>
        <x:v>ปานกลาง</x:v>
      </x:c>
      <x:c r="G17" s="106" t="n">
        <x:f>Raw_Data!J17/Raw_Data!C17*1000</x:f>
        <x:v>7.519881854677859</x:v>
      </x:c>
      <x:c r="H17" s="106" t="n">
        <x:f>Raw_Data!K17/Raw_Data!C17</x:f>
        <x:v>20856.085884519736</x:v>
      </x:c>
      <x:c r="I17" s="106" t="n">
        <x:f>MIN(H17,Weights_Method!$B$23)</x:f>
        <x:v>20856.085884519736</x:v>
      </x:c>
      <x:c r="J17" s="108" t="n">
        <x:f>Raw_Data!L17</x:f>
        <x:v>0.7842713441160644</x:v>
      </x:c>
      <x:c r="K17" s="106" t="n">
        <x:f>Raw_Data!C17/Raw_Data!D17</x:f>
        <x:v>4130.736598534516</x:v>
      </x:c>
      <x:c r="L17" s="106" t="n">
        <x:f>Raw_Data!F17/Raw_Data!E17*100</x:f>
        <x:v>29.629629629629626</x:v>
      </x:c>
      <x:c r="M17" s="106" t="n">
        <x:f>Raw_Data!B17/Raw_Data!C17</x:f>
        <x:v>1.1946257458347833</x:v>
      </x:c>
      <x:c r="N17" s="106" t="n">
        <x:f>Raw_Data!H17/Raw_Data!B17</x:f>
        <x:v>0.16156075934977834</x:v>
      </x:c>
      <x:c r="O17" s="106" t="n">
        <x:f>Raw_Data!I17/Raw_Data!C17*10000</x:f>
        <x:v>9.505945459637925</x:v>
      </x:c>
      <x:c r="P17" s="104" t="n">
        <x:f>(RANK.EQ(G17,$G$2:$G$51,1)-1)/(COUNT($G$2:$G$51)-1)*100</x:f>
        <x:v>59.183673469387756</x:v>
      </x:c>
      <x:c r="Q17" s="104" t="n">
        <x:f>(RANK.EQ(I17,$I$2:$I$51,1)-1)/(COUNT($I$2:$I$51)-1)*100</x:f>
        <x:v>55.10204081632652</x:v>
      </x:c>
      <x:c r="R17" s="104" t="n">
        <x:f>(RANK.EQ(J17,$J$2:$J$51,1)-1)/(COUNT($J$2:$J$51)-1)*100</x:f>
        <x:v>28.57142857142857</x:v>
      </x:c>
      <x:c r="S17" s="104" t="n">
        <x:f>(RANK.EQ(K17,$K$2:$K$51,1)-1)/(COUNT($K$2:$K$51)-1)*100</x:f>
        <x:v>61.224489795918366</x:v>
      </x:c>
      <x:c r="T17" s="104" t="n">
        <x:f>(RANK.EQ(L17,$L$2:$L$51,1)-1)/(COUNT($L$2:$L$51)-1)*100</x:f>
        <x:v>51.02040816326531</x:v>
      </x:c>
      <x:c r="U17" s="104" t="n">
        <x:f>(RANK.EQ(M17,$M$2:$M$51,1)-1)/(COUNT($M$2:$M$51)-1)*100</x:f>
        <x:v>14.285714285714285</x:v>
      </x:c>
      <x:c r="V17" s="104" t="n">
        <x:f>(RANK.EQ(N17,$N$2:$N$51,0)-1)/(COUNT($N$2:$N$51)-1)*100</x:f>
        <x:v>59.183673469387756</x:v>
      </x:c>
      <x:c r="W17" s="104" t="n">
        <x:f>(RANK.EQ(O17,$O$2:$O$51,1)-1)/(COUNT($O$2:$O$51)-1)*100</x:f>
        <x:v>36.734693877551024</x:v>
      </x:c>
      <x:c r="X17" s="110" t="n">
        <x:f>COUNT(Raw_Data!B17:L17)/11</x:f>
        <x:v>1</x:v>
      </x:c>
    </x:row>
    <x:row r="18">
      <x:c r="A18" s="102" t="n">
        <x:f>RANK.EQ(C18,$C$2:$C$51,0)</x:f>
        <x:v>17</x:v>
      </x:c>
      <x:c r="B18" s="100" t="str">
        <x:v>ดินแดง</x:v>
      </x:c>
      <x:c r="C18" s="104" t="n">
        <x:f>(D18*Weights_Method!$B$5+(100-E18)*Weights_Method!$B$6)/SUM(Weights_Method!$B$5:$B$6)</x:f>
        <x:v>54.33673469387755</x:v>
      </x:c>
      <x:c r="D18" s="104" t="n">
        <x:f>(P18*Weights_Method!$B$10+Q18*Weights_Method!$B$11+R18*Weights_Method!$B$12+S18*Weights_Method!$B$13)/SUM(Weights_Method!$B$10:$B$13)</x:f>
        <x:v>59.69387755102041</x:v>
      </x:c>
      <x:c r="E18" s="104" t="n">
        <x:f>(T18*Weights_Method!$B$17+U18*Weights_Method!$B$18+V18*Weights_Method!$B$19+W18*Weights_Method!$B$20)/SUM(Weights_Method!$B$17:$B$20)</x:f>
        <x:v>51.0204081632653</x:v>
      </x:c>
      <x:c r="F18" s="100" t="str">
        <x:f>IF(C18&gt;=Weights_Method!$E$5,Weights_Method!$D$5,IF(C18&gt;=Weights_Method!$E$6,Weights_Method!$D$6,IF(C18&gt;=Weights_Method!$E$7,Weights_Method!$D$7,IF(C18&gt;=Weights_Method!$E$8,Weights_Method!$D$8,Weights_Method!$D$9))))</x:f>
        <x:v>ปานกลาง</x:v>
      </x:c>
      <x:c r="G18" s="106" t="n">
        <x:f>Raw_Data!J18/Raw_Data!C18*1000</x:f>
        <x:v>7.440887986963072</x:v>
      </x:c>
      <x:c r="H18" s="106" t="n">
        <x:f>Raw_Data!K18/Raw_Data!C18</x:f>
        <x:v>20119.469298650187</x:v>
      </x:c>
      <x:c r="I18" s="106" t="n">
        <x:f>MIN(H18,Weights_Method!$B$23)</x:f>
        <x:v>20119.469298650187</x:v>
      </x:c>
      <x:c r="J18" s="108" t="n">
        <x:f>Raw_Data!L18</x:f>
        <x:v>0.7899113547950615</x:v>
      </x:c>
      <x:c r="K18" s="106" t="n">
        <x:f>Raw_Data!C18/Raw_Data!D18</x:f>
        <x:v>7786.2101987072065</x:v>
      </x:c>
      <x:c r="L18" s="106" t="n">
        <x:f>Raw_Data!F18/Raw_Data!E18*100</x:f>
        <x:v>59.09090909090909</x:v>
      </x:c>
      <x:c r="M18" s="106" t="n">
        <x:f>Raw_Data!B18/Raw_Data!C18</x:f>
        <x:v>1.7031024198259692</x:v>
      </x:c>
      <x:c r="N18" s="106" t="n">
        <x:f>Raw_Data!H18/Raw_Data!B18</x:f>
        <x:v>0.40385448636938076</x:v>
      </x:c>
      <x:c r="O18" s="106" t="n">
        <x:f>Raw_Data!I18/Raw_Data!C18*10000</x:f>
        <x:v>9.531716016357654</x:v>
      </x:c>
      <x:c r="P18" s="104" t="n">
        <x:f>(RANK.EQ(G18,$G$2:$G$51,1)-1)/(COUNT($G$2:$G$51)-1)*100</x:f>
        <x:v>53.06122448979592</x:v>
      </x:c>
      <x:c r="Q18" s="104" t="n">
        <x:f>(RANK.EQ(I18,$I$2:$I$51,1)-1)/(COUNT($I$2:$I$51)-1)*100</x:f>
        <x:v>53.06122448979592</x:v>
      </x:c>
      <x:c r="R18" s="104" t="n">
        <x:f>(RANK.EQ(J18,$J$2:$J$51,1)-1)/(COUNT($J$2:$J$51)-1)*100</x:f>
        <x:v>38.775510204081634</x:v>
      </x:c>
      <x:c r="S18" s="104" t="n">
        <x:f>(RANK.EQ(K18,$K$2:$K$51,1)-1)/(COUNT($K$2:$K$51)-1)*100</x:f>
        <x:v>93.87755102040816</x:v>
      </x:c>
      <x:c r="T18" s="104" t="n">
        <x:f>(RANK.EQ(L18,$L$2:$L$51,1)-1)/(COUNT($L$2:$L$51)-1)*100</x:f>
        <x:v>69.38775510204081</x:v>
      </x:c>
      <x:c r="U18" s="104" t="n">
        <x:f>(RANK.EQ(M18,$M$2:$M$51,1)-1)/(COUNT($M$2:$M$51)-1)*100</x:f>
        <x:v>46.93877551020408</x:v>
      </x:c>
      <x:c r="V18" s="104" t="n">
        <x:f>(RANK.EQ(N18,$N$2:$N$51,0)-1)/(COUNT($N$2:$N$51)-1)*100</x:f>
        <x:v>48.97959183673469</x:v>
      </x:c>
      <x:c r="W18" s="104" t="n">
        <x:f>(RANK.EQ(O18,$O$2:$O$51,1)-1)/(COUNT($O$2:$O$51)-1)*100</x:f>
        <x:v>38.775510204081634</x:v>
      </x:c>
      <x:c r="X18" s="110" t="n">
        <x:f>COUNT(Raw_Data!B18:L18)/11</x:f>
        <x:v>1</x:v>
      </x:c>
    </x:row>
    <x:row r="19">
      <x:c r="A19" s="102" t="n">
        <x:f>RANK.EQ(C19,$C$2:$C$51,0)</x:f>
        <x:v>18</x:v>
      </x:c>
      <x:c r="B19" s="100" t="str">
        <x:v>พระโขนง</x:v>
      </x:c>
      <x:c r="C19" s="104" t="n">
        <x:f>(D19*Weights_Method!$B$5+(100-E19)*Weights_Method!$B$6)/SUM(Weights_Method!$B$5:$B$6)</x:f>
        <x:v>53.06122448979592</x:v>
      </x:c>
      <x:c r="D19" s="104" t="n">
        <x:f>(P19*Weights_Method!$B$10+Q19*Weights_Method!$B$11+R19*Weights_Method!$B$12+S19*Weights_Method!$B$13)/SUM(Weights_Method!$B$10:$B$13)</x:f>
        <x:v>54.59183673469388</x:v>
      </x:c>
      <x:c r="E19" s="104" t="n">
        <x:f>(T19*Weights_Method!$B$17+U19*Weights_Method!$B$18+V19*Weights_Method!$B$19+W19*Weights_Method!$B$20)/SUM(Weights_Method!$B$17:$B$20)</x:f>
        <x:v>48.46938775510204</x:v>
      </x:c>
      <x:c r="F19" s="100" t="str">
        <x:f>IF(C19&gt;=Weights_Method!$E$5,Weights_Method!$D$5,IF(C19&gt;=Weights_Method!$E$6,Weights_Method!$D$6,IF(C19&gt;=Weights_Method!$E$7,Weights_Method!$D$7,IF(C19&gt;=Weights_Method!$E$8,Weights_Method!$D$8,Weights_Method!$D$9))))</x:f>
        <x:v>ปานกลาง</x:v>
      </x:c>
      <x:c r="G19" s="106" t="n">
        <x:f>Raw_Data!J19/Raw_Data!C19*1000</x:f>
        <x:v>6.31108115560185</x:v>
      </x:c>
      <x:c r="H19" s="106" t="n">
        <x:f>Raw_Data!K19/Raw_Data!C19</x:f>
        <x:v>12928.70929199473</x:v>
      </x:c>
      <x:c r="I19" s="106" t="n">
        <x:f>MIN(H19,Weights_Method!$B$23)</x:f>
        <x:v>12928.70929199473</x:v>
      </x:c>
      <x:c r="J19" s="108" t="n">
        <x:f>Raw_Data!L19</x:f>
        <x:v>0.8239830833770037</x:v>
      </x:c>
      <x:c r="K19" s="106" t="n">
        <x:f>Raw_Data!C19/Raw_Data!D19</x:f>
        <x:v>4667.667667667667</x:v>
      </x:c>
      <x:c r="L19" s="106" t="n">
        <x:f>Raw_Data!F19/Raw_Data!E19*100</x:f>
        <x:v>55.55555555555556</x:v>
      </x:c>
      <x:c r="M19" s="106" t="n">
        <x:f>Raw_Data!B19/Raw_Data!C19</x:f>
        <x:v>1.303115713366625</x:v>
      </x:c>
      <x:c r="N19" s="106" t="n">
        <x:f>Raw_Data!H19/Raw_Data!B19</x:f>
        <x:v>0.014529211237804162</x:v>
      </x:c>
      <x:c r="O19" s="106" t="n">
        <x:f>Raw_Data!I19/Raw_Data!C19*10000</x:f>
        <x:v>8.27180539811893</x:v>
      </x:c>
      <x:c r="P19" s="104" t="n">
        <x:f>(RANK.EQ(G19,$G$2:$G$51,1)-1)/(COUNT($G$2:$G$51)-1)*100</x:f>
        <x:v>38.775510204081634</x:v>
      </x:c>
      <x:c r="Q19" s="104" t="n">
        <x:f>(RANK.EQ(I19,$I$2:$I$51,1)-1)/(COUNT($I$2:$I$51)-1)*100</x:f>
        <x:v>28.57142857142857</x:v>
      </x:c>
      <x:c r="R19" s="104" t="n">
        <x:f>(RANK.EQ(J19,$J$2:$J$51,1)-1)/(COUNT($J$2:$J$51)-1)*100</x:f>
        <x:v>81.63265306122449</x:v>
      </x:c>
      <x:c r="S19" s="104" t="n">
        <x:f>(RANK.EQ(K19,$K$2:$K$51,1)-1)/(COUNT($K$2:$K$51)-1)*100</x:f>
        <x:v>69.38775510204081</x:v>
      </x:c>
      <x:c r="T19" s="104" t="n">
        <x:f>(RANK.EQ(L19,$L$2:$L$51,1)-1)/(COUNT($L$2:$L$51)-1)*100</x:f>
        <x:v>67.3469387755102</x:v>
      </x:c>
      <x:c r="U19" s="104" t="n">
        <x:f>(RANK.EQ(M19,$M$2:$M$51,1)-1)/(COUNT($M$2:$M$51)-1)*100</x:f>
        <x:v>18.367346938775512</x:v>
      </x:c>
      <x:c r="V19" s="104" t="n">
        <x:f>(RANK.EQ(N19,$N$2:$N$51,0)-1)/(COUNT($N$2:$N$51)-1)*100</x:f>
        <x:v>91.83673469387756</x:v>
      </x:c>
      <x:c r="W19" s="104" t="n">
        <x:f>(RANK.EQ(O19,$O$2:$O$51,1)-1)/(COUNT($O$2:$O$51)-1)*100</x:f>
        <x:v>16.3265306122449</x:v>
      </x:c>
      <x:c r="X19" s="110" t="n">
        <x:f>COUNT(Raw_Data!B19:L19)/11</x:f>
        <x:v>1</x:v>
      </x:c>
    </x:row>
    <x:row r="20">
      <x:c r="A20" s="102" t="n">
        <x:f>RANK.EQ(C20,$C$2:$C$51,0)</x:f>
        <x:v>19</x:v>
      </x:c>
      <x:c r="B20" s="100" t="str">
        <x:v>วังทองหลาง</x:v>
      </x:c>
      <x:c r="C20" s="104" t="n">
        <x:f>(D20*Weights_Method!$B$5+(100-E20)*Weights_Method!$B$6)/SUM(Weights_Method!$B$5:$B$6)</x:f>
        <x:v>52.55102040816327</x:v>
      </x:c>
      <x:c r="D20" s="104" t="n">
        <x:f>(P20*Weights_Method!$B$10+Q20*Weights_Method!$B$11+R20*Weights_Method!$B$12+S20*Weights_Method!$B$13)/SUM(Weights_Method!$B$10:$B$13)</x:f>
        <x:v>62.244897959183675</x:v>
      </x:c>
      <x:c r="E20" s="104" t="n">
        <x:f>(T20*Weights_Method!$B$17+U20*Weights_Method!$B$18+V20*Weights_Method!$B$19+W20*Weights_Method!$B$20)/SUM(Weights_Method!$B$17:$B$20)</x:f>
        <x:v>57.14285714285714</x:v>
      </x:c>
      <x:c r="F20" s="100" t="str">
        <x:f>IF(C20&gt;=Weights_Method!$E$5,Weights_Method!$D$5,IF(C20&gt;=Weights_Method!$E$6,Weights_Method!$D$6,IF(C20&gt;=Weights_Method!$E$7,Weights_Method!$D$7,IF(C20&gt;=Weights_Method!$E$8,Weights_Method!$D$8,Weights_Method!$D$9))))</x:f>
        <x:v>ปานกลาง</x:v>
      </x:c>
      <x:c r="G20" s="106" t="n">
        <x:f>Raw_Data!J20/Raw_Data!C20*1000</x:f>
        <x:v>11.784925116621656</x:v>
      </x:c>
      <x:c r="H20" s="106" t="n">
        <x:f>Raw_Data!K20/Raw_Data!C20</x:f>
        <x:v>26288.546510557328</x:v>
      </x:c>
      <x:c r="I20" s="106" t="n">
        <x:f>MIN(H20,Weights_Method!$B$23)</x:f>
        <x:v>26288.546510557328</x:v>
      </x:c>
      <x:c r="J20" s="108" t="n">
        <x:f>Raw_Data!L20</x:f>
        <x:v>0.7914777670315523</x:v>
      </x:c>
      <x:c r="K20" s="106" t="n">
        <x:f>Raw_Data!C20/Raw_Data!D20</x:f>
        <x:v>3382.71476771347</x:v>
      </x:c>
      <x:c r="L20" s="106" t="n">
        <x:f>Raw_Data!F20/Raw_Data!E20*100</x:f>
        <x:v>26.31578947368421</x:v>
      </x:c>
      <x:c r="M20" s="106" t="n">
        <x:f>Raw_Data!B20/Raw_Data!C20</x:f>
        <x:v>1.5813896390866684</x:v>
      </x:c>
      <x:c r="N20" s="106" t="n">
        <x:f>Raw_Data!H20/Raw_Data!B20</x:f>
        <x:v>0.08888371370905139</x:v>
      </x:c>
      <x:c r="O20" s="106" t="n">
        <x:f>Raw_Data!I20/Raw_Data!C20*10000</x:f>
        <x:v>12.736312300515591</x:v>
      </x:c>
      <x:c r="P20" s="104" t="n">
        <x:f>(RANK.EQ(G20,$G$2:$G$51,1)-1)/(COUNT($G$2:$G$51)-1)*100</x:f>
        <x:v>89.79591836734694</x:v>
      </x:c>
      <x:c r="Q20" s="104" t="n">
        <x:f>(RANK.EQ(I20,$I$2:$I$51,1)-1)/(COUNT($I$2:$I$51)-1)*100</x:f>
        <x:v>69.38775510204081</x:v>
      </x:c>
      <x:c r="R20" s="104" t="n">
        <x:f>(RANK.EQ(J20,$J$2:$J$51,1)-1)/(COUNT($J$2:$J$51)-1)*100</x:f>
        <x:v>40.816326530612244</x:v>
      </x:c>
      <x:c r="S20" s="104" t="n">
        <x:f>(RANK.EQ(K20,$K$2:$K$51,1)-1)/(COUNT($K$2:$K$51)-1)*100</x:f>
        <x:v>48.97959183673469</x:v>
      </x:c>
      <x:c r="T20" s="104" t="n">
        <x:f>(RANK.EQ(L20,$L$2:$L$51,1)-1)/(COUNT($L$2:$L$51)-1)*100</x:f>
        <x:v>48.97959183673469</x:v>
      </x:c>
      <x:c r="U20" s="104" t="n">
        <x:f>(RANK.EQ(M20,$M$2:$M$51,1)-1)/(COUNT($M$2:$M$51)-1)*100</x:f>
        <x:v>42.857142857142854</x:v>
      </x:c>
      <x:c r="V20" s="104" t="n">
        <x:f>(RANK.EQ(N20,$N$2:$N$51,0)-1)/(COUNT($N$2:$N$51)-1)*100</x:f>
        <x:v>65.3061224489796</x:v>
      </x:c>
      <x:c r="W20" s="104" t="n">
        <x:f>(RANK.EQ(O20,$O$2:$O$51,1)-1)/(COUNT($O$2:$O$51)-1)*100</x:f>
        <x:v>71.42857142857143</x:v>
      </x:c>
      <x:c r="X20" s="110" t="n">
        <x:f>COUNT(Raw_Data!B20:L20)/11</x:f>
        <x:v>1</x:v>
      </x:c>
    </x:row>
    <x:row r="21">
      <x:c r="A21" s="102" t="n">
        <x:f>RANK.EQ(C21,$C$2:$C$51,0)</x:f>
        <x:v>20</x:v>
      </x:c>
      <x:c r="B21" s="100" t="str">
        <x:v>บางเขน</x:v>
      </x:c>
      <x:c r="C21" s="104" t="n">
        <x:f>(D21*Weights_Method!$B$5+(100-E21)*Weights_Method!$B$6)/SUM(Weights_Method!$B$5:$B$6)</x:f>
        <x:v>52.04081632653061</x:v>
      </x:c>
      <x:c r="D21" s="104" t="n">
        <x:f>(P21*Weights_Method!$B$10+Q21*Weights_Method!$B$11+R21*Weights_Method!$B$12+S21*Weights_Method!$B$13)/SUM(Weights_Method!$B$10:$B$13)</x:f>
        <x:v>42.3469387755102</x:v>
      </x:c>
      <x:c r="E21" s="104" t="n">
        <x:f>(T21*Weights_Method!$B$17+U21*Weights_Method!$B$18+V21*Weights_Method!$B$19+W21*Weights_Method!$B$20)/SUM(Weights_Method!$B$17:$B$20)</x:f>
        <x:v>38.26530612244898</x:v>
      </x:c>
      <x:c r="F21" s="100" t="str">
        <x:f>IF(C21&gt;=Weights_Method!$E$5,Weights_Method!$D$5,IF(C21&gt;=Weights_Method!$E$6,Weights_Method!$D$6,IF(C21&gt;=Weights_Method!$E$7,Weights_Method!$D$7,IF(C21&gt;=Weights_Method!$E$8,Weights_Method!$D$8,Weights_Method!$D$9))))</x:f>
        <x:v>ปานกลาง</x:v>
      </x:c>
      <x:c r="G21" s="106" t="n">
        <x:f>Raw_Data!J21/Raw_Data!C21*1000</x:f>
        <x:v>6.536166509051042</x:v>
      </x:c>
      <x:c r="H21" s="106" t="n">
        <x:f>Raw_Data!K21/Raw_Data!C21</x:f>
        <x:v>19671.442559566152</x:v>
      </x:c>
      <x:c r="I21" s="106" t="n">
        <x:f>MIN(H21,Weights_Method!$B$23)</x:f>
        <x:v>19671.442559566152</x:v>
      </x:c>
      <x:c r="J21" s="108" t="n">
        <x:f>Raw_Data!L21</x:f>
        <x:v>0.789148336464013</x:v>
      </x:c>
      <x:c r="K21" s="106" t="n">
        <x:f>Raw_Data!C21/Raw_Data!D21</x:f>
        <x:v>2836.6688032666243</x:v>
      </x:c>
      <x:c r="L21" s="106" t="n">
        <x:f>Raw_Data!F21/Raw_Data!E21*100</x:f>
        <x:v>9.58904109589041</x:v>
      </x:c>
      <x:c r="M21" s="106" t="n">
        <x:f>Raw_Data!B21/Raw_Data!C21</x:f>
        <x:v>1.5585284001037751</x:v>
      </x:c>
      <x:c r="N21" s="106" t="n">
        <x:f>Raw_Data!H21/Raw_Data!B21</x:f>
        <x:v>0.9022966594532479</x:v>
      </x:c>
      <x:c r="O21" s="106" t="n">
        <x:f>Raw_Data!I21/Raw_Data!C21*10000</x:f>
        <x:v>11.71655968331813</x:v>
      </x:c>
      <x:c r="P21" s="104" t="n">
        <x:f>(RANK.EQ(G21,$G$2:$G$51,1)-1)/(COUNT($G$2:$G$51)-1)*100</x:f>
        <x:v>42.857142857142854</x:v>
      </x:c>
      <x:c r="Q21" s="104" t="n">
        <x:f>(RANK.EQ(I21,$I$2:$I$51,1)-1)/(COUNT($I$2:$I$51)-1)*100</x:f>
        <x:v>51.02040816326531</x:v>
      </x:c>
      <x:c r="R21" s="104" t="n">
        <x:f>(RANK.EQ(J21,$J$2:$J$51,1)-1)/(COUNT($J$2:$J$51)-1)*100</x:f>
        <x:v>36.734693877551024</x:v>
      </x:c>
      <x:c r="S21" s="104" t="n">
        <x:f>(RANK.EQ(K21,$K$2:$K$51,1)-1)/(COUNT($K$2:$K$51)-1)*100</x:f>
        <x:v>38.775510204081634</x:v>
      </x:c>
      <x:c r="T21" s="104" t="n">
        <x:f>(RANK.EQ(L21,$L$2:$L$51,1)-1)/(COUNT($L$2:$L$51)-1)*100</x:f>
        <x:v>26.53061224489796</x:v>
      </x:c>
      <x:c r="U21" s="104" t="n">
        <x:f>(RANK.EQ(M21,$M$2:$M$51,1)-1)/(COUNT($M$2:$M$51)-1)*100</x:f>
        <x:v>38.775510204081634</x:v>
      </x:c>
      <x:c r="V21" s="104" t="n">
        <x:f>(RANK.EQ(N21,$N$2:$N$51,0)-1)/(COUNT($N$2:$N$51)-1)*100</x:f>
        <x:v>26.53061224489796</x:v>
      </x:c>
      <x:c r="W21" s="104" t="n">
        <x:f>(RANK.EQ(O21,$O$2:$O$51,1)-1)/(COUNT($O$2:$O$51)-1)*100</x:f>
        <x:v>61.224489795918366</x:v>
      </x:c>
      <x:c r="X21" s="110" t="n">
        <x:f>COUNT(Raw_Data!B21:L21)/11</x:f>
        <x:v>1</x:v>
      </x:c>
    </x:row>
    <x:row r="22">
      <x:c r="A22" s="102" t="n">
        <x:f>RANK.EQ(C22,$C$2:$C$51,0)</x:f>
        <x:v>21</x:v>
      </x:c>
      <x:c r="B22" s="100" t="str">
        <x:v>ประเวศ</x:v>
      </x:c>
      <x:c r="C22" s="104" t="n">
        <x:f>(D22*Weights_Method!$B$5+(100-E22)*Weights_Method!$B$6)/SUM(Weights_Method!$B$5:$B$6)</x:f>
        <x:v>51.785714285714285</x:v>
      </x:c>
      <x:c r="D22" s="104" t="n">
        <x:f>(P22*Weights_Method!$B$10+Q22*Weights_Method!$B$11+R22*Weights_Method!$B$12+S22*Weights_Method!$B$13)/SUM(Weights_Method!$B$10:$B$13)</x:f>
        <x:v>49.48979591836735</x:v>
      </x:c>
      <x:c r="E22" s="104" t="n">
        <x:f>(T22*Weights_Method!$B$17+U22*Weights_Method!$B$18+V22*Weights_Method!$B$19+W22*Weights_Method!$B$20)/SUM(Weights_Method!$B$17:$B$20)</x:f>
        <x:v>45.91836734693878</x:v>
      </x:c>
      <x:c r="F22" s="100" t="str">
        <x:f>IF(C22&gt;=Weights_Method!$E$5,Weights_Method!$D$5,IF(C22&gt;=Weights_Method!$E$6,Weights_Method!$D$6,IF(C22&gt;=Weights_Method!$E$7,Weights_Method!$D$7,IF(C22&gt;=Weights_Method!$E$8,Weights_Method!$D$8,Weights_Method!$D$9))))</x:f>
        <x:v>ปานกลาง</x:v>
      </x:c>
      <x:c r="G22" s="106" t="n">
        <x:f>Raw_Data!J22/Raw_Data!C22*1000</x:f>
        <x:v>11.214380553569605</x:v>
      </x:c>
      <x:c r="H22" s="106" t="n">
        <x:f>Raw_Data!K22/Raw_Data!C22</x:f>
        <x:v>38252.12133592075</x:v>
      </x:c>
      <x:c r="I22" s="106" t="n">
        <x:f>MIN(H22,Weights_Method!$B$23)</x:f>
        <x:v>38252.12133592075</x:v>
      </x:c>
      <x:c r="J22" s="108" t="n">
        <x:f>Raw_Data!L22</x:f>
        <x:v>0.7627733134837024</x:v>
      </x:c>
      <x:c r="K22" s="106" t="n">
        <x:f>Raw_Data!C22/Raw_Data!D22</x:f>
        <x:v>1865.3076776528862</x:v>
      </x:c>
      <x:c r="L22" s="106" t="n">
        <x:f>Raw_Data!F22/Raw_Data!E22*100</x:f>
        <x:v>6.666666666666667</x:v>
      </x:c>
      <x:c r="M22" s="106" t="n">
        <x:f>Raw_Data!B22/Raw_Data!C22</x:f>
        <x:v>1.8829026657134103</x:v>
      </x:c>
      <x:c r="N22" s="106" t="n">
        <x:f>Raw_Data!H22/Raw_Data!B22</x:f>
        <x:v>10.590209107428603</x:v>
      </x:c>
      <x:c r="O22" s="106" t="n">
        <x:f>Raw_Data!I22/Raw_Data!C22*10000</x:f>
        <x:v>27.167807169849862</x:v>
      </x:c>
      <x:c r="P22" s="104" t="n">
        <x:f>(RANK.EQ(G22,$G$2:$G$51,1)-1)/(COUNT($G$2:$G$51)-1)*100</x:f>
        <x:v>87.75510204081633</x:v>
      </x:c>
      <x:c r="Q22" s="104" t="n">
        <x:f>(RANK.EQ(I22,$I$2:$I$51,1)-1)/(COUNT($I$2:$I$51)-1)*100</x:f>
        <x:v>75.51020408163265</x:v>
      </x:c>
      <x:c r="R22" s="104" t="n">
        <x:f>(RANK.EQ(J22,$J$2:$J$51,1)-1)/(COUNT($J$2:$J$51)-1)*100</x:f>
        <x:v>12.244897959183673</x:v>
      </x:c>
      <x:c r="S22" s="104" t="n">
        <x:f>(RANK.EQ(K22,$K$2:$K$51,1)-1)/(COUNT($K$2:$K$51)-1)*100</x:f>
        <x:v>22.448979591836736</x:v>
      </x:c>
      <x:c r="T22" s="104" t="n">
        <x:f>(RANK.EQ(L22,$L$2:$L$51,1)-1)/(COUNT($L$2:$L$51)-1)*100</x:f>
        <x:v>24.489795918367346</x:v>
      </x:c>
      <x:c r="U22" s="104" t="n">
        <x:f>(RANK.EQ(M22,$M$2:$M$51,1)-1)/(COUNT($M$2:$M$51)-1)*100</x:f>
        <x:v>65.3061224489796</x:v>
      </x:c>
      <x:c r="V22" s="104" t="n">
        <x:f>(RANK.EQ(N22,$N$2:$N$51,0)-1)/(COUNT($N$2:$N$51)-1)*100</x:f>
        <x:v>2.0408163265306123</x:v>
      </x:c>
      <x:c r="W22" s="104" t="n">
        <x:f>(RANK.EQ(O22,$O$2:$O$51,1)-1)/(COUNT($O$2:$O$51)-1)*100</x:f>
        <x:v>91.83673469387756</x:v>
      </x:c>
      <x:c r="X22" s="110" t="n">
        <x:f>COUNT(Raw_Data!B22:L22)/11</x:f>
        <x:v>1</x:v>
      </x:c>
    </x:row>
    <x:row r="23">
      <x:c r="A23" s="102" t="n">
        <x:f>RANK.EQ(C23,$C$2:$C$51,0)</x:f>
        <x:v>21</x:v>
      </x:c>
      <x:c r="B23" s="100" t="str">
        <x:v>คลองสาน</x:v>
      </x:c>
      <x:c r="C23" s="104" t="n">
        <x:f>(D23*Weights_Method!$B$5+(100-E23)*Weights_Method!$B$6)/SUM(Weights_Method!$B$5:$B$6)</x:f>
        <x:v>51.785714285714285</x:v>
      </x:c>
      <x:c r="D23" s="104" t="n">
        <x:f>(P23*Weights_Method!$B$10+Q23*Weights_Method!$B$11+R23*Weights_Method!$B$12+S23*Weights_Method!$B$13)/SUM(Weights_Method!$B$10:$B$13)</x:f>
        <x:v>57.65306122448979</x:v>
      </x:c>
      <x:c r="E23" s="104" t="n">
        <x:f>(T23*Weights_Method!$B$17+U23*Weights_Method!$B$18+V23*Weights_Method!$B$19+W23*Weights_Method!$B$20)/SUM(Weights_Method!$B$17:$B$20)</x:f>
        <x:v>54.08163265306122</x:v>
      </x:c>
      <x:c r="F23" s="100" t="str">
        <x:f>IF(C23&gt;=Weights_Method!$E$5,Weights_Method!$D$5,IF(C23&gt;=Weights_Method!$E$6,Weights_Method!$D$6,IF(C23&gt;=Weights_Method!$E$7,Weights_Method!$D$7,IF(C23&gt;=Weights_Method!$E$8,Weights_Method!$D$8,Weights_Method!$D$9))))</x:f>
        <x:v>ปานกลาง</x:v>
      </x:c>
      <x:c r="G23" s="106" t="n">
        <x:f>Raw_Data!J23/Raw_Data!C23*1000</x:f>
        <x:v>4.86544370984263</x:v>
      </x:c>
      <x:c r="H23" s="106" t="n">
        <x:f>Raw_Data!K23/Raw_Data!C23</x:f>
        <x:v>13940.311015923271</x:v>
      </x:c>
      <x:c r="I23" s="106" t="n">
        <x:f>MIN(H23,Weights_Method!$B$23)</x:f>
        <x:v>13940.311015923271</x:v>
      </x:c>
      <x:c r="J23" s="108" t="n">
        <x:f>Raw_Data!L23</x:f>
        <x:v>0.8311625113850885</x:v>
      </x:c>
      <x:c r="K23" s="106" t="n">
        <x:f>Raw_Data!C23/Raw_Data!D23</x:f>
        <x:v>7098.991902164931</x:v>
      </x:c>
      <x:c r="L23" s="106" t="n">
        <x:f>Raw_Data!F23/Raw_Data!E23*100</x:f>
        <x:v>84.84848484848484</x:v>
      </x:c>
      <x:c r="M23" s="106" t="n">
        <x:f>Raw_Data!B23/Raw_Data!C23</x:f>
        <x:v>1.4749278331315765</x:v>
      </x:c>
      <x:c r="N23" s="106" t="n">
        <x:f>Raw_Data!H23/Raw_Data!B23</x:f>
        <x:v>0.06767997222090692</x:v>
      </x:c>
      <x:c r="O23" s="106" t="n">
        <x:f>Raw_Data!I23/Raw_Data!C23*10000</x:f>
        <x:v>9.079057640376199</x:v>
      </x:c>
      <x:c r="P23" s="104" t="n">
        <x:f>(RANK.EQ(G23,$G$2:$G$51,1)-1)/(COUNT($G$2:$G$51)-1)*100</x:f>
        <x:v>16.3265306122449</x:v>
      </x:c>
      <x:c r="Q23" s="104" t="n">
        <x:f>(RANK.EQ(I23,$I$2:$I$51,1)-1)/(COUNT($I$2:$I$51)-1)*100</x:f>
        <x:v>36.734693877551024</x:v>
      </x:c>
      <x:c r="R23" s="104" t="n">
        <x:f>(RANK.EQ(J23,$J$2:$J$51,1)-1)/(COUNT($J$2:$J$51)-1)*100</x:f>
        <x:v>87.75510204081633</x:v>
      </x:c>
      <x:c r="S23" s="104" t="n">
        <x:f>(RANK.EQ(K23,$K$2:$K$51,1)-1)/(COUNT($K$2:$K$51)-1)*100</x:f>
        <x:v>89.79591836734694</x:v>
      </x:c>
      <x:c r="T23" s="104" t="n">
        <x:f>(RANK.EQ(L23,$L$2:$L$51,1)-1)/(COUNT($L$2:$L$51)-1)*100</x:f>
        <x:v>85.71428571428571</x:v>
      </x:c>
      <x:c r="U23" s="104" t="n">
        <x:f>(RANK.EQ(M23,$M$2:$M$51,1)-1)/(COUNT($M$2:$M$51)-1)*100</x:f>
        <x:v>30.612244897959183</x:v>
      </x:c>
      <x:c r="V23" s="104" t="n">
        <x:f>(RANK.EQ(N23,$N$2:$N$51,0)-1)/(COUNT($N$2:$N$51)-1)*100</x:f>
        <x:v>73.46938775510205</x:v>
      </x:c>
      <x:c r="W23" s="104" t="n">
        <x:f>(RANK.EQ(O23,$O$2:$O$51,1)-1)/(COUNT($O$2:$O$51)-1)*100</x:f>
        <x:v>26.53061224489796</x:v>
      </x:c>
      <x:c r="X23" s="110" t="n">
        <x:f>COUNT(Raw_Data!B23:L23)/11</x:f>
        <x:v>1</x:v>
      </x:c>
    </x:row>
    <x:row r="24">
      <x:c r="A24" s="102" t="n">
        <x:f>RANK.EQ(C24,$C$2:$C$51,0)</x:f>
        <x:v>23</x:v>
      </x:c>
      <x:c r="B24" s="100" t="str">
        <x:v>หลักสี่</x:v>
      </x:c>
      <x:c r="C24" s="104" t="n">
        <x:f>(D24*Weights_Method!$B$5+(100-E24)*Weights_Method!$B$6)/SUM(Weights_Method!$B$5:$B$6)</x:f>
        <x:v>51.530612244897966</x:v>
      </x:c>
      <x:c r="D24" s="104" t="n">
        <x:f>(P24*Weights_Method!$B$10+Q24*Weights_Method!$B$11+R24*Weights_Method!$B$12+S24*Weights_Method!$B$13)/SUM(Weights_Method!$B$10:$B$13)</x:f>
        <x:v>55.61224489795919</x:v>
      </x:c>
      <x:c r="E24" s="104" t="n">
        <x:f>(T24*Weights_Method!$B$17+U24*Weights_Method!$B$18+V24*Weights_Method!$B$19+W24*Weights_Method!$B$20)/SUM(Weights_Method!$B$17:$B$20)</x:f>
        <x:v>52.55102040816326</x:v>
      </x:c>
      <x:c r="F24" s="100" t="str">
        <x:f>IF(C24&gt;=Weights_Method!$E$5,Weights_Method!$D$5,IF(C24&gt;=Weights_Method!$E$6,Weights_Method!$D$6,IF(C24&gt;=Weights_Method!$E$7,Weights_Method!$D$7,IF(C24&gt;=Weights_Method!$E$8,Weights_Method!$D$8,Weights_Method!$D$9))))</x:f>
        <x:v>ปานกลาง</x:v>
      </x:c>
      <x:c r="G24" s="106" t="n">
        <x:f>Raw_Data!J24/Raw_Data!C24*1000</x:f>
        <x:v>4.987731143649865</x:v>
      </x:c>
      <x:c r="H24" s="106" t="n">
        <x:f>Raw_Data!K24/Raw_Data!C24</x:f>
        <x:v>26394.078873510498</x:v>
      </x:c>
      <x:c r="I24" s="106" t="n">
        <x:f>MIN(H24,Weights_Method!$B$23)</x:f>
        <x:v>26394.078873510498</x:v>
      </x:c>
      <x:c r="J24" s="108" t="n">
        <x:f>Raw_Data!L24</x:f>
        <x:v>0.8474414641011586</x:v>
      </x:c>
      <x:c r="K24" s="106" t="n">
        <x:f>Raw_Data!C24/Raw_Data!D24</x:f>
        <x:v>2729.8717219035943</x:v>
      </x:c>
      <x:c r="L24" s="106" t="n">
        <x:f>Raw_Data!F24/Raw_Data!E24*100</x:f>
        <x:v>19.736842105263158</x:v>
      </x:c>
      <x:c r="M24" s="106" t="n">
        <x:f>Raw_Data!B24/Raw_Data!C24</x:f>
        <x:v>1.5745353070421633</x:v>
      </x:c>
      <x:c r="N24" s="106" t="n">
        <x:f>Raw_Data!H24/Raw_Data!B24</x:f>
        <x:v>0.02893753119366043</x:v>
      </x:c>
      <x:c r="O24" s="106" t="n">
        <x:f>Raw_Data!I24/Raw_Data!C24*10000</x:f>
        <x:v>9.783009638670151</x:v>
      </x:c>
      <x:c r="P24" s="104" t="n">
        <x:f>(RANK.EQ(G24,$G$2:$G$51,1)-1)/(COUNT($G$2:$G$51)-1)*100</x:f>
        <x:v>20.408163265306122</x:v>
      </x:c>
      <x:c r="Q24" s="104" t="n">
        <x:f>(RANK.EQ(I24,$I$2:$I$51,1)-1)/(COUNT($I$2:$I$51)-1)*100</x:f>
        <x:v>71.42857142857143</x:v>
      </x:c>
      <x:c r="R24" s="104" t="n">
        <x:f>(RANK.EQ(J24,$J$2:$J$51,1)-1)/(COUNT($J$2:$J$51)-1)*100</x:f>
        <x:v>95.91836734693877</x:v>
      </x:c>
      <x:c r="S24" s="104" t="n">
        <x:f>(RANK.EQ(K24,$K$2:$K$51,1)-1)/(COUNT($K$2:$K$51)-1)*100</x:f>
        <x:v>34.69387755102041</x:v>
      </x:c>
      <x:c r="T24" s="104" t="n">
        <x:f>(RANK.EQ(L24,$L$2:$L$51,1)-1)/(COUNT($L$2:$L$51)-1)*100</x:f>
        <x:v>40.816326530612244</x:v>
      </x:c>
      <x:c r="U24" s="104" t="n">
        <x:f>(RANK.EQ(M24,$M$2:$M$51,1)-1)/(COUNT($M$2:$M$51)-1)*100</x:f>
        <x:v>40.816326530612244</x:v>
      </x:c>
      <x:c r="V24" s="104" t="n">
        <x:f>(RANK.EQ(N24,$N$2:$N$51,0)-1)/(COUNT($N$2:$N$51)-1)*100</x:f>
        <x:v>85.71428571428571</x:v>
      </x:c>
      <x:c r="W24" s="104" t="n">
        <x:f>(RANK.EQ(O24,$O$2:$O$51,1)-1)/(COUNT($O$2:$O$51)-1)*100</x:f>
        <x:v>42.857142857142854</x:v>
      </x:c>
      <x:c r="X24" s="110" t="n">
        <x:f>COUNT(Raw_Data!B24:L24)/11</x:f>
        <x:v>1</x:v>
      </x:c>
    </x:row>
    <x:row r="25">
      <x:c r="A25" s="102" t="n">
        <x:f>RANK.EQ(C25,$C$2:$C$51,0)</x:f>
        <x:v>24</x:v>
      </x:c>
      <x:c r="B25" s="100" t="str">
        <x:v>สัมพันธวงศ์</x:v>
      </x:c>
      <x:c r="C25" s="104" t="n">
        <x:f>(D25*Weights_Method!$B$5+(100-E25)*Weights_Method!$B$6)/SUM(Weights_Method!$B$5:$B$6)</x:f>
        <x:v>51.0204081632653</x:v>
      </x:c>
      <x:c r="D25" s="104" t="n">
        <x:f>(P25*Weights_Method!$B$10+Q25*Weights_Method!$B$11+R25*Weights_Method!$B$12+S25*Weights_Method!$B$13)/SUM(Weights_Method!$B$10:$B$13)</x:f>
        <x:v>63.265306122448976</x:v>
      </x:c>
      <x:c r="E25" s="104" t="n">
        <x:f>(T25*Weights_Method!$B$17+U25*Weights_Method!$B$18+V25*Weights_Method!$B$19+W25*Weights_Method!$B$20)/SUM(Weights_Method!$B$17:$B$20)</x:f>
        <x:v>61.22448979591837</x:v>
      </x:c>
      <x:c r="F25" s="100" t="str">
        <x:f>IF(C25&gt;=Weights_Method!$E$5,Weights_Method!$D$5,IF(C25&gt;=Weights_Method!$E$6,Weights_Method!$D$6,IF(C25&gt;=Weights_Method!$E$7,Weights_Method!$D$7,IF(C25&gt;=Weights_Method!$E$8,Weights_Method!$D$8,Weights_Method!$D$9))))</x:f>
        <x:v>ปานกลาง</x:v>
      </x:c>
      <x:c r="G25" s="106" t="n">
        <x:f>Raw_Data!J25/Raw_Data!C25*1000</x:f>
        <x:v>7.978723404255319</x:v>
      </x:c>
      <x:c r="H25" s="106" t="n">
        <x:f>Raw_Data!K25/Raw_Data!C25</x:f>
        <x:v>45494.68085106383</x:v>
      </x:c>
      <x:c r="I25" s="106" t="n">
        <x:f>MIN(H25,Weights_Method!$B$23)</x:f>
        <x:v>45494.68085106383</x:v>
      </x:c>
      <x:c r="J25" s="108" t="n">
        <x:f>Raw_Data!L25</x:f>
        <x:v>0.7569007000424262</x:v>
      </x:c>
      <x:c r="K25" s="106" t="n">
        <x:f>Raw_Data!C25/Raw_Data!D25</x:f>
        <x:v>9293.785310734464</x:v>
      </x:c>
      <x:c r="L25" s="106" t="n">
        <x:f>Raw_Data!F25/Raw_Data!E25*100</x:f>
        <x:v>87.5</x:v>
      </x:c>
      <x:c r="M25" s="106" t="n">
        <x:f>Raw_Data!B25/Raw_Data!C25</x:f>
        <x:v>1.4319908814589666</x:v>
      </x:c>
      <x:c r="N25" s="106" t="n">
        <x:f>Raw_Data!H25/Raw_Data!B25</x:f>
        <x:v>0</x:v>
      </x:c>
      <x:c r="O25" s="106" t="n">
        <x:f>Raw_Data!I25/Raw_Data!C25*10000</x:f>
        <x:v>9.11854103343465</x:v>
      </x:c>
      <x:c r="P25" s="104" t="n">
        <x:f>(RANK.EQ(G25,$G$2:$G$51,1)-1)/(COUNT($G$2:$G$51)-1)*100</x:f>
        <x:v>65.3061224489796</x:v>
      </x:c>
      <x:c r="Q25" s="104" t="n">
        <x:f>(RANK.EQ(I25,$I$2:$I$51,1)-1)/(COUNT($I$2:$I$51)-1)*100</x:f>
        <x:v>81.63265306122449</x:v>
      </x:c>
      <x:c r="R25" s="104" t="n">
        <x:f>(RANK.EQ(J25,$J$2:$J$51,1)-1)/(COUNT($J$2:$J$51)-1)*100</x:f>
        <x:v>8.16326530612245</x:v>
      </x:c>
      <x:c r="S25" s="104" t="n">
        <x:f>(RANK.EQ(K25,$K$2:$K$51,1)-1)/(COUNT($K$2:$K$51)-1)*100</x:f>
        <x:v>97.95918367346938</x:v>
      </x:c>
      <x:c r="T25" s="104" t="n">
        <x:f>(RANK.EQ(L25,$L$2:$L$51,1)-1)/(COUNT($L$2:$L$51)-1)*100</x:f>
        <x:v>89.79591836734694</x:v>
      </x:c>
      <x:c r="U25" s="104" t="n">
        <x:f>(RANK.EQ(M25,$M$2:$M$51,1)-1)/(COUNT($M$2:$M$51)-1)*100</x:f>
        <x:v>26.53061224489796</x:v>
      </x:c>
      <x:c r="V25" s="104" t="n">
        <x:f>(RANK.EQ(N25,$N$2:$N$51,0)-1)/(COUNT($N$2:$N$51)-1)*100</x:f>
        <x:v>100</x:v>
      </x:c>
      <x:c r="W25" s="104" t="n">
        <x:f>(RANK.EQ(O25,$O$2:$O$51,1)-1)/(COUNT($O$2:$O$51)-1)*100</x:f>
        <x:v>28.57142857142857</x:v>
      </x:c>
      <x:c r="X25" s="110" t="n">
        <x:f>COUNT(Raw_Data!B25:L25)/11</x:f>
        <x:v>1</x:v>
      </x:c>
    </x:row>
    <x:row r="26">
      <x:c r="A26" s="102" t="n">
        <x:f>RANK.EQ(C26,$C$2:$C$51,0)</x:f>
        <x:v>25</x:v>
      </x:c>
      <x:c r="B26" s="100" t="str">
        <x:v>บางคอแหลม</x:v>
      </x:c>
      <x:c r="C26" s="104" t="n">
        <x:f>(D26*Weights_Method!$B$5+(100-E26)*Weights_Method!$B$6)/SUM(Weights_Method!$B$5:$B$6)</x:f>
        <x:v>50.765306122448976</x:v>
      </x:c>
      <x:c r="D26" s="104" t="n">
        <x:f>(P26*Weights_Method!$B$10+Q26*Weights_Method!$B$11+R26*Weights_Method!$B$12+S26*Weights_Method!$B$13)/SUM(Weights_Method!$B$10:$B$13)</x:f>
        <x:v>52.551020408163254</x:v>
      </x:c>
      <x:c r="E26" s="104" t="n">
        <x:f>(T26*Weights_Method!$B$17+U26*Weights_Method!$B$18+V26*Weights_Method!$B$19+W26*Weights_Method!$B$20)/SUM(Weights_Method!$B$17:$B$20)</x:f>
        <x:v>51.02040816326531</x:v>
      </x:c>
      <x:c r="F26" s="100" t="str">
        <x:f>IF(C26&gt;=Weights_Method!$E$5,Weights_Method!$D$5,IF(C26&gt;=Weights_Method!$E$6,Weights_Method!$D$6,IF(C26&gt;=Weights_Method!$E$7,Weights_Method!$D$7,IF(C26&gt;=Weights_Method!$E$8,Weights_Method!$D$8,Weights_Method!$D$9))))</x:f>
        <x:v>ปานกลาง</x:v>
      </x:c>
      <x:c r="G26" s="106" t="n">
        <x:f>Raw_Data!J26/Raw_Data!C26*1000</x:f>
        <x:v>5.823769789805956</x:v>
      </x:c>
      <x:c r="H26" s="106" t="n">
        <x:f>Raw_Data!K26/Raw_Data!C26</x:f>
        <x:v>14275.968385249713</x:v>
      </x:c>
      <x:c r="I26" s="106" t="n">
        <x:f>MIN(H26,Weights_Method!$B$23)</x:f>
        <x:v>14275.968385249713</x:v>
      </x:c>
      <x:c r="J26" s="108" t="n">
        <x:f>Raw_Data!L26</x:f>
        <x:v>0.8293536493056909</x:v>
      </x:c>
      <x:c r="K26" s="106" t="n">
        <x:f>Raw_Data!C26/Raw_Data!D26</x:f>
        <x:v>3742.056588224522</x:v>
      </x:c>
      <x:c r="L26" s="106" t="n">
        <x:f>Raw_Data!F26/Raw_Data!E26*100</x:f>
        <x:v>92.85714285714286</x:v>
      </x:c>
      <x:c r="M26" s="106" t="n">
        <x:f>Raw_Data!B26/Raw_Data!C26</x:f>
        <x:v>1.8651723884797025</x:v>
      </x:c>
      <x:c r="N26" s="106" t="n">
        <x:f>Raw_Data!H26/Raw_Data!B26</x:f>
        <x:v>0.7021279387069689</x:v>
      </x:c>
      <x:c r="O26" s="106" t="n">
        <x:f>Raw_Data!I26/Raw_Data!C26*10000</x:f>
        <x:v>8.319671128294223</x:v>
      </x:c>
      <x:c r="P26" s="104" t="n">
        <x:f>(RANK.EQ(G26,$G$2:$G$51,1)-1)/(COUNT($G$2:$G$51)-1)*100</x:f>
        <x:v>30.612244897959183</x:v>
      </x:c>
      <x:c r="Q26" s="104" t="n">
        <x:f>(RANK.EQ(I26,$I$2:$I$51,1)-1)/(COUNT($I$2:$I$51)-1)*100</x:f>
        <x:v>38.775510204081634</x:v>
      </x:c>
      <x:c r="R26" s="104" t="n">
        <x:f>(RANK.EQ(J26,$J$2:$J$51,1)-1)/(COUNT($J$2:$J$51)-1)*100</x:f>
        <x:v>85.71428571428571</x:v>
      </x:c>
      <x:c r="S26" s="104" t="n">
        <x:f>(RANK.EQ(K26,$K$2:$K$51,1)-1)/(COUNT($K$2:$K$51)-1)*100</x:f>
        <x:v>55.10204081632652</x:v>
      </x:c>
      <x:c r="T26" s="104" t="n">
        <x:f>(RANK.EQ(L26,$L$2:$L$51,1)-1)/(COUNT($L$2:$L$51)-1)*100</x:f>
        <x:v>91.83673469387756</x:v>
      </x:c>
      <x:c r="U26" s="104" t="n">
        <x:f>(RANK.EQ(M26,$M$2:$M$51,1)-1)/(COUNT($M$2:$M$51)-1)*100</x:f>
        <x:v>61.224489795918366</x:v>
      </x:c>
      <x:c r="V26" s="104" t="n">
        <x:f>(RANK.EQ(N26,$N$2:$N$51,0)-1)/(COUNT($N$2:$N$51)-1)*100</x:f>
        <x:v>30.612244897959183</x:v>
      </x:c>
      <x:c r="W26" s="104" t="n">
        <x:f>(RANK.EQ(O26,$O$2:$O$51,1)-1)/(COUNT($O$2:$O$51)-1)*100</x:f>
        <x:v>20.408163265306122</x:v>
      </x:c>
      <x:c r="X26" s="110" t="n">
        <x:f>COUNT(Raw_Data!B26:L26)/11</x:f>
        <x:v>1</x:v>
      </x:c>
    </x:row>
    <x:row r="27">
      <x:c r="A27" s="102" t="n">
        <x:f>RANK.EQ(C27,$C$2:$C$51,0)</x:f>
        <x:v>26</x:v>
      </x:c>
      <x:c r="B27" s="100" t="str">
        <x:v>บางพลัด</x:v>
      </x:c>
      <x:c r="C27" s="104" t="n">
        <x:f>(D27*Weights_Method!$B$5+(100-E27)*Weights_Method!$B$6)/SUM(Weights_Method!$B$5:$B$6)</x:f>
        <x:v>49.234693877551024</x:v>
      </x:c>
      <x:c r="D27" s="104" t="n">
        <x:f>(P27*Weights_Method!$B$10+Q27*Weights_Method!$B$11+R27*Weights_Method!$B$12+S27*Weights_Method!$B$13)/SUM(Weights_Method!$B$10:$B$13)</x:f>
        <x:v>44.89795918367347</x:v>
      </x:c>
      <x:c r="E27" s="104" t="n">
        <x:f>(T27*Weights_Method!$B$17+U27*Weights_Method!$B$18+V27*Weights_Method!$B$19+W27*Weights_Method!$B$20)/SUM(Weights_Method!$B$17:$B$20)</x:f>
        <x:v>46.42857142857142</x:v>
      </x:c>
      <x:c r="F27" s="100" t="str">
        <x:f>IF(C27&gt;=Weights_Method!$E$5,Weights_Method!$D$5,IF(C27&gt;=Weights_Method!$E$6,Weights_Method!$D$6,IF(C27&gt;=Weights_Method!$E$7,Weights_Method!$D$7,IF(C27&gt;=Weights_Method!$E$8,Weights_Method!$D$8,Weights_Method!$D$9))))</x:f>
        <x:v>ปานกลาง</x:v>
      </x:c>
      <x:c r="G27" s="106" t="n">
        <x:f>Raw_Data!J27/Raw_Data!C27*1000</x:f>
        <x:v>3.4899991768869865</x:v>
      </x:c>
      <x:c r="H27" s="106" t="n">
        <x:f>Raw_Data!K27/Raw_Data!C27</x:f>
        <x:v>6834.142727796527</x:v>
      </x:c>
      <x:c r="I27" s="106" t="n">
        <x:f>MIN(H27,Weights_Method!$B$23)</x:f>
        <x:v>6834.142727796527</x:v>
      </x:c>
      <x:c r="J27" s="108" t="n">
        <x:f>Raw_Data!L27</x:f>
        <x:v>0.8285159180635033</x:v>
      </x:c>
      <x:c r="K27" s="106" t="n">
        <x:f>Raw_Data!C27/Raw_Data!D27</x:f>
        <x:v>5360.010588546722</x:v>
      </x:c>
      <x:c r="L27" s="106" t="n">
        <x:f>Raw_Data!F27/Raw_Data!E27*100</x:f>
        <x:v>85.41666666666666</x:v>
      </x:c>
      <x:c r="M27" s="106" t="n">
        <x:f>Raw_Data!B27/Raw_Data!C27</x:f>
        <x:v>1.4251543336900157</x:v>
      </x:c>
      <x:c r="N27" s="106" t="n">
        <x:f>Raw_Data!H27/Raw_Data!B27</x:f>
        <x:v>0.5079299072437652</x:v>
      </x:c>
      <x:c r="O27" s="106" t="n">
        <x:f>Raw_Data!I27/Raw_Data!C27*10000</x:f>
        <x:v>9.38348835295086</x:v>
      </x:c>
      <x:c r="P27" s="104" t="n">
        <x:f>(RANK.EQ(G27,$G$2:$G$51,1)-1)/(COUNT($G$2:$G$51)-1)*100</x:f>
        <x:v>8.16326530612245</x:v>
      </x:c>
      <x:c r="Q27" s="104" t="n">
        <x:f>(RANK.EQ(I27,$I$2:$I$51,1)-1)/(COUNT($I$2:$I$51)-1)*100</x:f>
        <x:v>10.204081632653061</x:v>
      </x:c>
      <x:c r="R27" s="104" t="n">
        <x:f>(RANK.EQ(J27,$J$2:$J$51,1)-1)/(COUNT($J$2:$J$51)-1)*100</x:f>
        <x:v>83.6734693877551</x:v>
      </x:c>
      <x:c r="S27" s="104" t="n">
        <x:f>(RANK.EQ(K27,$K$2:$K$51,1)-1)/(COUNT($K$2:$K$51)-1)*100</x:f>
        <x:v>77.55102040816327</x:v>
      </x:c>
      <x:c r="T27" s="104" t="n">
        <x:f>(RANK.EQ(L27,$L$2:$L$51,1)-1)/(COUNT($L$2:$L$51)-1)*100</x:f>
        <x:v>87.75510204081633</x:v>
      </x:c>
      <x:c r="U27" s="104" t="n">
        <x:f>(RANK.EQ(M27,$M$2:$M$51,1)-1)/(COUNT($M$2:$M$51)-1)*100</x:f>
        <x:v>24.489795918367346</x:v>
      </x:c>
      <x:c r="V27" s="104" t="n">
        <x:f>(RANK.EQ(N27,$N$2:$N$51,0)-1)/(COUNT($N$2:$N$51)-1)*100</x:f>
        <x:v>40.816326530612244</x:v>
      </x:c>
      <x:c r="W27" s="104" t="n">
        <x:f>(RANK.EQ(O27,$O$2:$O$51,1)-1)/(COUNT($O$2:$O$51)-1)*100</x:f>
        <x:v>32.6530612244898</x:v>
      </x:c>
      <x:c r="X27" s="110" t="n">
        <x:f>COUNT(Raw_Data!B27:L27)/11</x:f>
        <x:v>1</x:v>
      </x:c>
    </x:row>
    <x:row r="28">
      <x:c r="A28" s="102" t="n">
        <x:f>RANK.EQ(C28,$C$2:$C$51,0)</x:f>
        <x:v>27</x:v>
      </x:c>
      <x:c r="B28" s="100" t="str">
        <x:v>ทวีวัฒนา</x:v>
      </x:c>
      <x:c r="C28" s="104" t="n">
        <x:f>(D28*Weights_Method!$B$5+(100-E28)*Weights_Method!$B$6)/SUM(Weights_Method!$B$5:$B$6)</x:f>
        <x:v>48.97959183673469</x:v>
      </x:c>
      <x:c r="D28" s="104" t="n">
        <x:f>(P28*Weights_Method!$B$10+Q28*Weights_Method!$B$11+R28*Weights_Method!$B$12+S28*Weights_Method!$B$13)/SUM(Weights_Method!$B$10:$B$13)</x:f>
        <x:v>44.38775510204081</x:v>
      </x:c>
      <x:c r="E28" s="104" t="n">
        <x:f>(T28*Weights_Method!$B$17+U28*Weights_Method!$B$18+V28*Weights_Method!$B$19+W28*Weights_Method!$B$20)/SUM(Weights_Method!$B$17:$B$20)</x:f>
        <x:v>46.42857142857143</x:v>
      </x:c>
      <x:c r="F28" s="100" t="str">
        <x:f>IF(C28&gt;=Weights_Method!$E$5,Weights_Method!$D$5,IF(C28&gt;=Weights_Method!$E$6,Weights_Method!$D$6,IF(C28&gt;=Weights_Method!$E$7,Weights_Method!$D$7,IF(C28&gt;=Weights_Method!$E$8,Weights_Method!$D$8,Weights_Method!$D$9))))</x:f>
        <x:v>ปานกลาง</x:v>
      </x:c>
      <x:c r="G28" s="106" t="n">
        <x:f>Raw_Data!J28/Raw_Data!C28*1000</x:f>
        <x:v>8.206900275363102</x:v>
      </x:c>
      <x:c r="H28" s="106" t="n">
        <x:f>Raw_Data!K28/Raw_Data!C28</x:f>
        <x:v>12698.01846552562</x:v>
      </x:c>
      <x:c r="I28" s="106" t="n">
        <x:f>MIN(H28,Weights_Method!$B$23)</x:f>
        <x:v>12698.01846552562</x:v>
      </x:c>
      <x:c r="J28" s="108" t="n">
        <x:f>Raw_Data!L28</x:f>
        <x:v>0.8220400039684341</x:v>
      </x:c>
      <x:c r="K28" s="106" t="n">
        <x:f>Raw_Data!C28/Raw_Data!D28</x:f>
        <x:v>738.4915967224227</x:v>
      </x:c>
      <x:c r="L28" s="106" t="n">
        <x:f>Raw_Data!F28/Raw_Data!E28*100</x:f>
        <x:v>0</x:v>
      </x:c>
      <x:c r="M28" s="106" t="n">
        <x:f>Raw_Data!B28/Raw_Data!C28</x:f>
        <x:v>2.1670536148156145</x:v>
      </x:c>
      <x:c r="N28" s="106" t="n">
        <x:f>Raw_Data!H28/Raw_Data!B28</x:f>
        <x:v>5.505867550328881</x:v>
      </x:c>
      <x:c r="O28" s="106" t="n">
        <x:f>Raw_Data!I28/Raw_Data!C28*10000</x:f>
        <x:v>24.02678041142487</x:v>
      </x:c>
      <x:c r="P28" s="104" t="n">
        <x:f>(RANK.EQ(G28,$G$2:$G$51,1)-1)/(COUNT($G$2:$G$51)-1)*100</x:f>
        <x:v>69.38775510204081</x:v>
      </x:c>
      <x:c r="Q28" s="104" t="n">
        <x:f>(RANK.EQ(I28,$I$2:$I$51,1)-1)/(COUNT($I$2:$I$51)-1)*100</x:f>
        <x:v>26.53061224489796</x:v>
      </x:c>
      <x:c r="R28" s="104" t="n">
        <x:f>(RANK.EQ(J28,$J$2:$J$51,1)-1)/(COUNT($J$2:$J$51)-1)*100</x:f>
        <x:v>79.59183673469387</x:v>
      </x:c>
      <x:c r="S28" s="104" t="n">
        <x:f>(RANK.EQ(K28,$K$2:$K$51,1)-1)/(COUNT($K$2:$K$51)-1)*100</x:f>
        <x:v>2.0408163265306123</x:v>
      </x:c>
      <x:c r="T28" s="104" t="n">
        <x:f>(RANK.EQ(L28,$L$2:$L$51,1)-1)/(COUNT($L$2:$L$51)-1)*100</x:f>
        <x:v>0</x:v>
      </x:c>
      <x:c r="U28" s="104" t="n">
        <x:f>(RANK.EQ(M28,$M$2:$M$51,1)-1)/(COUNT($M$2:$M$51)-1)*100</x:f>
        <x:v>87.75510204081633</x:v>
      </x:c>
      <x:c r="V28" s="104" t="n">
        <x:f>(RANK.EQ(N28,$N$2:$N$51,0)-1)/(COUNT($N$2:$N$51)-1)*100</x:f>
        <x:v>10.204081632653061</x:v>
      </x:c>
      <x:c r="W28" s="104" t="n">
        <x:f>(RANK.EQ(O28,$O$2:$O$51,1)-1)/(COUNT($O$2:$O$51)-1)*100</x:f>
        <x:v>87.75510204081633</x:v>
      </x:c>
      <x:c r="X28" s="110" t="n">
        <x:f>COUNT(Raw_Data!B28:L28)/11</x:f>
        <x:v>1</x:v>
      </x:c>
    </x:row>
    <x:row r="29">
      <x:c r="A29" s="102" t="n">
        <x:f>RANK.EQ(C29,$C$2:$C$51,0)</x:f>
        <x:v>28</x:v>
      </x:c>
      <x:c r="B29" s="100" t="str">
        <x:v>บางกอกใหญ่</x:v>
      </x:c>
      <x:c r="C29" s="104" t="n">
        <x:f>(D29*Weights_Method!$B$5+(100-E29)*Weights_Method!$B$6)/SUM(Weights_Method!$B$5:$B$6)</x:f>
        <x:v>47.70408163265306</x:v>
      </x:c>
      <x:c r="D29" s="104" t="n">
        <x:f>(P29*Weights_Method!$B$10+Q29*Weights_Method!$B$11+R29*Weights_Method!$B$12+S29*Weights_Method!$B$13)/SUM(Weights_Method!$B$10:$B$13)</x:f>
        <x:v>37.244897959183675</x:v>
      </x:c>
      <x:c r="E29" s="104" t="n">
        <x:f>(T29*Weights_Method!$B$17+U29*Weights_Method!$B$18+V29*Weights_Method!$B$19+W29*Weights_Method!$B$20)/SUM(Weights_Method!$B$17:$B$20)</x:f>
        <x:v>41.83673469387755</x:v>
      </x:c>
      <x:c r="F29" s="100" t="str">
        <x:f>IF(C29&gt;=Weights_Method!$E$5,Weights_Method!$D$5,IF(C29&gt;=Weights_Method!$E$6,Weights_Method!$D$6,IF(C29&gt;=Weights_Method!$E$7,Weights_Method!$D$7,IF(C29&gt;=Weights_Method!$E$8,Weights_Method!$D$8,Weights_Method!$D$9))))</x:f>
        <x:v>ปานกลาง</x:v>
      </x:c>
      <x:c r="G29" s="106" t="n">
        <x:f>Raw_Data!J29/Raw_Data!C29*1000</x:f>
        <x:v>2.7917703465436667</x:v>
      </x:c>
      <x:c r="H29" s="106" t="n">
        <x:f>Raw_Data!K29/Raw_Data!C29</x:f>
        <x:v>4095.102263761607</x:v>
      </x:c>
      <x:c r="I29" s="106" t="n">
        <x:f>MIN(H29,Weights_Method!$B$23)</x:f>
        <x:v>4095.102263761607</x:v>
      </x:c>
      <x:c r="J29" s="108" t="n">
        <x:f>Raw_Data!L29</x:f>
        <x:v>0.811277521004653</x:v>
      </x:c>
      <x:c r="K29" s="106" t="n">
        <x:f>Raw_Data!C29/Raw_Data!D29</x:f>
        <x:v>5332.3624595469255</x:v>
      </x:c>
      <x:c r="L29" s="106" t="n">
        <x:f>Raw_Data!F29/Raw_Data!E29*100</x:f>
        <x:v>13.793103448275861</x:v>
      </x:c>
      <x:c r="M29" s="106" t="n">
        <x:f>Raw_Data!B29/Raw_Data!C29</x:f>
        <x:v>1.8145596892638223</x:v>
      </x:c>
      <x:c r="N29" s="106" t="n">
        <x:f>Raw_Data!H29/Raw_Data!B29</x:f>
        <x:v>0.06080572603976788</x:v>
      </x:c>
      <x:c r="O29" s="106" t="n">
        <x:f>Raw_Data!I29/Raw_Data!C29*10000</x:f>
        <x:v>7.2828791648965225</x:v>
      </x:c>
      <x:c r="P29" s="104" t="n">
        <x:f>(RANK.EQ(G29,$G$2:$G$51,1)-1)/(COUNT($G$2:$G$51)-1)*100</x:f>
        <x:v>2.0408163265306123</x:v>
      </x:c>
      <x:c r="Q29" s="104" t="n">
        <x:f>(RANK.EQ(I29,$I$2:$I$51,1)-1)/(COUNT($I$2:$I$51)-1)*100</x:f>
        <x:v>2.0408163265306123</x:v>
      </x:c>
      <x:c r="R29" s="104" t="n">
        <x:f>(RANK.EQ(J29,$J$2:$J$51,1)-1)/(COUNT($J$2:$J$51)-1)*100</x:f>
        <x:v>69.38775510204081</x:v>
      </x:c>
      <x:c r="S29" s="104" t="n">
        <x:f>(RANK.EQ(K29,$K$2:$K$51,1)-1)/(COUNT($K$2:$K$51)-1)*100</x:f>
        <x:v>75.51020408163265</x:v>
      </x:c>
      <x:c r="T29" s="104" t="n">
        <x:f>(RANK.EQ(L29,$L$2:$L$51,1)-1)/(COUNT($L$2:$L$51)-1)*100</x:f>
        <x:v>30.612244897959183</x:v>
      </x:c>
      <x:c r="U29" s="104" t="n">
        <x:f>(RANK.EQ(M29,$M$2:$M$51,1)-1)/(COUNT($M$2:$M$51)-1)*100</x:f>
        <x:v>55.10204081632652</x:v>
      </x:c>
      <x:c r="V29" s="104" t="n">
        <x:f>(RANK.EQ(N29,$N$2:$N$51,0)-1)/(COUNT($N$2:$N$51)-1)*100</x:f>
        <x:v>75.51020408163265</x:v>
      </x:c>
      <x:c r="W29" s="104" t="n">
        <x:f>(RANK.EQ(O29,$O$2:$O$51,1)-1)/(COUNT($O$2:$O$51)-1)*100</x:f>
        <x:v>6.122448979591836</x:v>
      </x:c>
      <x:c r="X29" s="110" t="n">
        <x:f>COUNT(Raw_Data!B29:L29)/11</x:f>
        <x:v>1</x:v>
      </x:c>
    </x:row>
    <x:row r="30">
      <x:c r="A30" s="102" t="n">
        <x:f>RANK.EQ(C30,$C$2:$C$51,0)</x:f>
        <x:v>29</x:v>
      </x:c>
      <x:c r="B30" s="100" t="str">
        <x:v>บางซื่อ</x:v>
      </x:c>
      <x:c r="C30" s="104" t="n">
        <x:f>(D30*Weights_Method!$B$5+(100-E30)*Weights_Method!$B$6)/SUM(Weights_Method!$B$5:$B$6)</x:f>
        <x:v>47.44897959183673</x:v>
      </x:c>
      <x:c r="D30" s="104" t="n">
        <x:f>(P30*Weights_Method!$B$10+Q30*Weights_Method!$B$11+R30*Weights_Method!$B$12+S30*Weights_Method!$B$13)/SUM(Weights_Method!$B$10:$B$13)</x:f>
        <x:v>48.469387755102034</x:v>
      </x:c>
      <x:c r="E30" s="104" t="n">
        <x:f>(T30*Weights_Method!$B$17+U30*Weights_Method!$B$18+V30*Weights_Method!$B$19+W30*Weights_Method!$B$20)/SUM(Weights_Method!$B$17:$B$20)</x:f>
        <x:v>53.57142857142857</x:v>
      </x:c>
      <x:c r="F30" s="100" t="str">
        <x:f>IF(C30&gt;=Weights_Method!$E$5,Weights_Method!$D$5,IF(C30&gt;=Weights_Method!$E$6,Weights_Method!$D$6,IF(C30&gt;=Weights_Method!$E$7,Weights_Method!$D$7,IF(C30&gt;=Weights_Method!$E$8,Weights_Method!$D$8,Weights_Method!$D$9))))</x:f>
        <x:v>ปานกลาง</x:v>
      </x:c>
      <x:c r="G30" s="106" t="n">
        <x:f>Raw_Data!J30/Raw_Data!C30*1000</x:f>
        <x:v>3.1823215672297254</x:v>
      </x:c>
      <x:c r="H30" s="106" t="n">
        <x:f>Raw_Data!K30/Raw_Data!C30</x:f>
        <x:v>5435.405236828371</x:v>
      </x:c>
      <x:c r="I30" s="106" t="n">
        <x:f>MIN(H30,Weights_Method!$B$23)</x:f>
        <x:v>5435.405236828371</x:v>
      </x:c>
      <x:c r="J30" s="108" t="n">
        <x:f>Raw_Data!L30</x:f>
        <x:v>0.8583209099744716</x:v>
      </x:c>
      <x:c r="K30" s="106" t="n">
        <x:f>Raw_Data!C30/Raw_Data!D30</x:f>
        <x:v>6804.59073191858</x:v>
      </x:c>
      <x:c r="L30" s="106" t="n">
        <x:f>Raw_Data!F30/Raw_Data!E30*100</x:f>
        <x:v>94</x:v>
      </x:c>
      <x:c r="M30" s="106" t="n">
        <x:f>Raw_Data!B30/Raw_Data!C30</x:f>
        <x:v>1.4957675123155845</x:v>
      </x:c>
      <x:c r="N30" s="106" t="n">
        <x:f>Raw_Data!H30/Raw_Data!B30</x:f>
        <x:v>0.13309958640409852</x:v>
      </x:c>
      <x:c r="O30" s="106" t="n">
        <x:f>Raw_Data!I30/Raw_Data!C30*10000</x:f>
        <x:v>8.274036074797285</x:v>
      </x:c>
      <x:c r="P30" s="104" t="n">
        <x:f>(RANK.EQ(G30,$G$2:$G$51,1)-1)/(COUNT($G$2:$G$51)-1)*100</x:f>
        <x:v>6.122448979591836</x:v>
      </x:c>
      <x:c r="Q30" s="104" t="n">
        <x:f>(RANK.EQ(I30,$I$2:$I$51,1)-1)/(COUNT($I$2:$I$51)-1)*100</x:f>
        <x:v>4.081632653061225</x:v>
      </x:c>
      <x:c r="R30" s="104" t="n">
        <x:f>(RANK.EQ(J30,$J$2:$J$51,1)-1)/(COUNT($J$2:$J$51)-1)*100</x:f>
        <x:v>97.95918367346938</x:v>
      </x:c>
      <x:c r="S30" s="104" t="n">
        <x:f>(RANK.EQ(K30,$K$2:$K$51,1)-1)/(COUNT($K$2:$K$51)-1)*100</x:f>
        <x:v>85.71428571428571</x:v>
      </x:c>
      <x:c r="T30" s="104" t="n">
        <x:f>(RANK.EQ(L30,$L$2:$L$51,1)-1)/(COUNT($L$2:$L$51)-1)*100</x:f>
        <x:v>97.95918367346938</x:v>
      </x:c>
      <x:c r="U30" s="104" t="n">
        <x:f>(RANK.EQ(M30,$M$2:$M$51,1)-1)/(COUNT($M$2:$M$51)-1)*100</x:f>
        <x:v>34.69387755102041</x:v>
      </x:c>
      <x:c r="V30" s="104" t="n">
        <x:f>(RANK.EQ(N30,$N$2:$N$51,0)-1)/(COUNT($N$2:$N$51)-1)*100</x:f>
        <x:v>63.26530612244898</x:v>
      </x:c>
      <x:c r="W30" s="104" t="n">
        <x:f>(RANK.EQ(O30,$O$2:$O$51,1)-1)/(COUNT($O$2:$O$51)-1)*100</x:f>
        <x:v>18.367346938775512</x:v>
      </x:c>
      <x:c r="X30" s="110" t="n">
        <x:f>COUNT(Raw_Data!B30:L30)/11</x:f>
        <x:v>1</x:v>
      </x:c>
    </x:row>
    <x:row r="31">
      <x:c r="A31" s="102" t="n">
        <x:f>RANK.EQ(C31,$C$2:$C$51,0)</x:f>
        <x:v>30</x:v>
      </x:c>
      <x:c r="B31" s="100" t="str">
        <x:v>ลาดกระบัง</x:v>
      </x:c>
      <x:c r="C31" s="104" t="n">
        <x:f>(D31*Weights_Method!$B$5+(100-E31)*Weights_Method!$B$6)/SUM(Weights_Method!$B$5:$B$6)</x:f>
        <x:v>46.683673469387756</x:v>
      </x:c>
      <x:c r="D31" s="104" t="n">
        <x:f>(P31*Weights_Method!$B$10+Q31*Weights_Method!$B$11+R31*Weights_Method!$B$12+S31*Weights_Method!$B$13)/SUM(Weights_Method!$B$10:$B$13)</x:f>
        <x:v>37.24489795918367</x:v>
      </x:c>
      <x:c r="E31" s="104" t="n">
        <x:f>(T31*Weights_Method!$B$17+U31*Weights_Method!$B$18+V31*Weights_Method!$B$19+W31*Weights_Method!$B$20)/SUM(Weights_Method!$B$17:$B$20)</x:f>
        <x:v>43.87755102040816</x:v>
      </x:c>
      <x:c r="F31" s="100" t="str">
        <x:f>IF(C31&gt;=Weights_Method!$E$5,Weights_Method!$D$5,IF(C31&gt;=Weights_Method!$E$6,Weights_Method!$D$6,IF(C31&gt;=Weights_Method!$E$7,Weights_Method!$D$7,IF(C31&gt;=Weights_Method!$E$8,Weights_Method!$D$8,Weights_Method!$D$9))))</x:f>
        <x:v>ปานกลาง</x:v>
      </x:c>
      <x:c r="G31" s="106" t="n">
        <x:f>Raw_Data!J31/Raw_Data!C31*1000</x:f>
        <x:v>7.511858400546317</x:v>
      </x:c>
      <x:c r="H31" s="106" t="n">
        <x:f>Raw_Data!K31/Raw_Data!C31</x:f>
        <x:v>19036.38729443901</x:v>
      </x:c>
      <x:c r="I31" s="106" t="n">
        <x:f>MIN(H31,Weights_Method!$B$23)</x:f>
        <x:v>19036.38729443901</x:v>
      </x:c>
      <x:c r="J31" s="108" t="n">
        <x:f>Raw_Data!L31</x:f>
        <x:v>0.7866692135060435</x:v>
      </x:c>
      <x:c r="K31" s="106" t="n">
        <x:f>Raw_Data!C31/Raw_Data!D31</x:f>
        <x:v>874.8819221857112</x:v>
      </x:c>
      <x:c r="L31" s="106" t="n">
        <x:f>Raw_Data!F31/Raw_Data!E31*100</x:f>
        <x:v>1.5151515151515151</x:v>
      </x:c>
      <x:c r="M31" s="106" t="n">
        <x:f>Raw_Data!B31/Raw_Data!C31</x:f>
        <x:v>1.6726620032852846</x:v>
      </x:c>
      <x:c r="N31" s="106" t="n">
        <x:f>Raw_Data!H31/Raw_Data!B31</x:f>
        <x:v>1.255714388175644</x:v>
      </x:c>
      <x:c r="O31" s="106" t="n">
        <x:f>Raw_Data!I31/Raw_Data!C31*10000</x:f>
        <x:v>37.4670087299976</x:v>
      </x:c>
      <x:c r="P31" s="104" t="n">
        <x:f>(RANK.EQ(G31,$G$2:$G$51,1)-1)/(COUNT($G$2:$G$51)-1)*100</x:f>
        <x:v>57.14285714285714</x:v>
      </x:c>
      <x:c r="Q31" s="104" t="n">
        <x:f>(RANK.EQ(I31,$I$2:$I$51,1)-1)/(COUNT($I$2:$I$51)-1)*100</x:f>
        <x:v>48.97959183673469</x:v>
      </x:c>
      <x:c r="R31" s="104" t="n">
        <x:f>(RANK.EQ(J31,$J$2:$J$51,1)-1)/(COUNT($J$2:$J$51)-1)*100</x:f>
        <x:v>34.69387755102041</x:v>
      </x:c>
      <x:c r="S31" s="104" t="n">
        <x:f>(RANK.EQ(K31,$K$2:$K$51,1)-1)/(COUNT($K$2:$K$51)-1)*100</x:f>
        <x:v>8.16326530612245</x:v>
      </x:c>
      <x:c r="T31" s="104" t="n">
        <x:f>(RANK.EQ(L31,$L$2:$L$51,1)-1)/(COUNT($L$2:$L$51)-1)*100</x:f>
        <x:v>8.16326530612245</x:v>
      </x:c>
      <x:c r="U31" s="104" t="n">
        <x:f>(RANK.EQ(M31,$M$2:$M$51,1)-1)/(COUNT($M$2:$M$51)-1)*100</x:f>
        <x:v>44.89795918367347</x:v>
      </x:c>
      <x:c r="V31" s="104" t="n">
        <x:f>(RANK.EQ(N31,$N$2:$N$51,0)-1)/(COUNT($N$2:$N$51)-1)*100</x:f>
        <x:v>24.489795918367346</x:v>
      </x:c>
      <x:c r="W31" s="104" t="n">
        <x:f>(RANK.EQ(O31,$O$2:$O$51,1)-1)/(COUNT($O$2:$O$51)-1)*100</x:f>
        <x:v>97.95918367346938</x:v>
      </x:c>
      <x:c r="X31" s="110" t="n">
        <x:f>COUNT(Raw_Data!B31:L31)/11</x:f>
        <x:v>1</x:v>
      </x:c>
    </x:row>
    <x:row r="32">
      <x:c r="A32" s="102" t="n">
        <x:f>RANK.EQ(C32,$C$2:$C$51,0)</x:f>
        <x:v>31</x:v>
      </x:c>
      <x:c r="B32" s="100" t="str">
        <x:v>ธนบุรี</x:v>
      </x:c>
      <x:c r="C32" s="104" t="n">
        <x:f>(D32*Weights_Method!$B$5+(100-E32)*Weights_Method!$B$6)/SUM(Weights_Method!$B$5:$B$6)</x:f>
        <x:v>44.89795918367348</x:v>
      </x:c>
      <x:c r="D32" s="104" t="n">
        <x:f>(P32*Weights_Method!$B$10+Q32*Weights_Method!$B$11+R32*Weights_Method!$B$12+S32*Weights_Method!$B$13)/SUM(Weights_Method!$B$10:$B$13)</x:f>
        <x:v>45.91836734693878</x:v>
      </x:c>
      <x:c r="E32" s="104" t="n">
        <x:f>(T32*Weights_Method!$B$17+U32*Weights_Method!$B$18+V32*Weights_Method!$B$19+W32*Weights_Method!$B$20)/SUM(Weights_Method!$B$17:$B$20)</x:f>
        <x:v>56.12244897959183</x:v>
      </x:c>
      <x:c r="F32" s="100" t="str">
        <x:f>IF(C32&gt;=Weights_Method!$E$5,Weights_Method!$D$5,IF(C32&gt;=Weights_Method!$E$6,Weights_Method!$D$6,IF(C32&gt;=Weights_Method!$E$7,Weights_Method!$D$7,IF(C32&gt;=Weights_Method!$E$8,Weights_Method!$D$8,Weights_Method!$D$9))))</x:f>
        <x:v>ปานกลาง</x:v>
      </x:c>
      <x:c r="G32" s="106" t="n">
        <x:f>Raw_Data!J32/Raw_Data!C32*1000</x:f>
        <x:v>2.6705325804974818</x:v>
      </x:c>
      <x:c r="H32" s="106" t="n">
        <x:f>Raw_Data!K32/Raw_Data!C32</x:f>
        <x:v>3491.533648710514</x:v>
      </x:c>
      <x:c r="I32" s="106" t="n">
        <x:f>MIN(H32,Weights_Method!$B$23)</x:f>
        <x:v>3491.533648710514</x:v>
      </x:c>
      <x:c r="J32" s="108" t="n">
        <x:f>Raw_Data!L32</x:f>
        <x:v>0.8343475985250473</x:v>
      </x:c>
      <x:c r="K32" s="106" t="n">
        <x:f>Raw_Data!C32/Raw_Data!D32</x:f>
        <x:v>7663.431177640042</x:v>
      </x:c>
      <x:c r="L32" s="106" t="n">
        <x:f>Raw_Data!F32/Raw_Data!E32*100</x:f>
        <x:v>100</x:v>
      </x:c>
      <x:c r="M32" s="106" t="n">
        <x:f>Raw_Data!B32/Raw_Data!C32</x:f>
        <x:v>1.4828170303677706</x:v>
      </x:c>
      <x:c r="N32" s="106" t="n">
        <x:f>Raw_Data!H32/Raw_Data!B32</x:f>
        <x:v>0.041165392254731446</x:v>
      </x:c>
      <x:c r="O32" s="106" t="n">
        <x:f>Raw_Data!I32/Raw_Data!C32*10000</x:f>
        <x:v>7.324889363650236</x:v>
      </x:c>
      <x:c r="P32" s="104" t="n">
        <x:f>(RANK.EQ(G32,$G$2:$G$51,1)-1)/(COUNT($G$2:$G$51)-1)*100</x:f>
        <x:v>0</x:v>
      </x:c>
      <x:c r="Q32" s="104" t="n">
        <x:f>(RANK.EQ(I32,$I$2:$I$51,1)-1)/(COUNT($I$2:$I$51)-1)*100</x:f>
        <x:v>0</x:v>
      </x:c>
      <x:c r="R32" s="104" t="n">
        <x:f>(RANK.EQ(J32,$J$2:$J$51,1)-1)/(COUNT($J$2:$J$51)-1)*100</x:f>
        <x:v>91.83673469387756</x:v>
      </x:c>
      <x:c r="S32" s="104" t="n">
        <x:f>(RANK.EQ(K32,$K$2:$K$51,1)-1)/(COUNT($K$2:$K$51)-1)*100</x:f>
        <x:v>91.83673469387756</x:v>
      </x:c>
      <x:c r="T32" s="104" t="n">
        <x:f>(RANK.EQ(L32,$L$2:$L$51,1)-1)/(COUNT($L$2:$L$51)-1)*100</x:f>
        <x:v>100</x:v>
      </x:c>
      <x:c r="U32" s="104" t="n">
        <x:f>(RANK.EQ(M32,$M$2:$M$51,1)-1)/(COUNT($M$2:$M$51)-1)*100</x:f>
        <x:v>32.6530612244898</x:v>
      </x:c>
      <x:c r="V32" s="104" t="n">
        <x:f>(RANK.EQ(N32,$N$2:$N$51,0)-1)/(COUNT($N$2:$N$51)-1)*100</x:f>
        <x:v>83.6734693877551</x:v>
      </x:c>
      <x:c r="W32" s="104" t="n">
        <x:f>(RANK.EQ(O32,$O$2:$O$51,1)-1)/(COUNT($O$2:$O$51)-1)*100</x:f>
        <x:v>8.16326530612245</x:v>
      </x:c>
      <x:c r="X32" s="110" t="n">
        <x:f>COUNT(Raw_Data!B32:L32)/11</x:f>
        <x:v>1</x:v>
      </x:c>
    </x:row>
    <x:row r="33">
      <x:c r="A33" s="102" t="n">
        <x:f>RANK.EQ(C33,$C$2:$C$51,0)</x:f>
        <x:v>32</x:v>
      </x:c>
      <x:c r="B33" s="100" t="str">
        <x:v>ภาษีเจริญ</x:v>
      </x:c>
      <x:c r="C33" s="104" t="n">
        <x:f>(D33*Weights_Method!$B$5+(100-E33)*Weights_Method!$B$6)/SUM(Weights_Method!$B$5:$B$6)</x:f>
        <x:v>44.38775510204081</x:v>
      </x:c>
      <x:c r="D33" s="104" t="n">
        <x:f>(P33*Weights_Method!$B$10+Q33*Weights_Method!$B$11+R33*Weights_Method!$B$12+S33*Weights_Method!$B$13)/SUM(Weights_Method!$B$10:$B$13)</x:f>
        <x:v>26.020408163265305</x:v>
      </x:c>
      <x:c r="E33" s="104" t="n">
        <x:f>(T33*Weights_Method!$B$17+U33*Weights_Method!$B$18+V33*Weights_Method!$B$19+W33*Weights_Method!$B$20)/SUM(Weights_Method!$B$17:$B$20)</x:f>
        <x:v>37.244897959183675</x:v>
      </x:c>
      <x:c r="F33" s="100" t="str">
        <x:f>IF(C33&gt;=Weights_Method!$E$5,Weights_Method!$D$5,IF(C33&gt;=Weights_Method!$E$6,Weights_Method!$D$6,IF(C33&gt;=Weights_Method!$E$7,Weights_Method!$D$7,IF(C33&gt;=Weights_Method!$E$8,Weights_Method!$D$8,Weights_Method!$D$9))))</x:f>
        <x:v>ปานกลาง</x:v>
      </x:c>
      <x:c r="G33" s="106" t="n">
        <x:f>Raw_Data!J33/Raw_Data!C33*1000</x:f>
        <x:v>4.4325859620432935</x:v>
      </x:c>
      <x:c r="H33" s="106" t="n">
        <x:f>Raw_Data!K33/Raw_Data!C33</x:f>
        <x:v>6394.828477571688</x:v>
      </x:c>
      <x:c r="I33" s="106" t="n">
        <x:f>MIN(H33,Weights_Method!$B$23)</x:f>
        <x:v>6394.828477571688</x:v>
      </x:c>
      <x:c r="J33" s="108" t="n">
        <x:f>Raw_Data!L33</x:f>
        <x:v>0.7772068320824653</x:v>
      </x:c>
      <x:c r="K33" s="106" t="n">
        <x:f>Raw_Data!C33/Raw_Data!D33</x:f>
        <x:v>3908.8819109565998</x:v>
      </x:c>
      <x:c r="L33" s="106" t="n">
        <x:f>Raw_Data!F33/Raw_Data!E33*100</x:f>
        <x:v>5.88235294117647</x:v>
      </x:c>
      <x:c r="M33" s="106" t="n">
        <x:f>Raw_Data!B33/Raw_Data!C33</x:f>
        <x:v>1.7460085208934029</x:v>
      </x:c>
      <x:c r="N33" s="106" t="n">
        <x:f>Raw_Data!H33/Raw_Data!B33</x:f>
        <x:v>0.043379670708863255</x:v>
      </x:c>
      <x:c r="O33" s="106" t="n">
        <x:f>Raw_Data!I33/Raw_Data!C33*10000</x:f>
        <x:v>6.742121042590123</x:v>
      </x:c>
      <x:c r="P33" s="104" t="n">
        <x:f>(RANK.EQ(G33,$G$2:$G$51,1)-1)/(COUNT($G$2:$G$51)-1)*100</x:f>
        <x:v>12.244897959183673</x:v>
      </x:c>
      <x:c r="Q33" s="104" t="n">
        <x:f>(RANK.EQ(I33,$I$2:$I$51,1)-1)/(COUNT($I$2:$I$51)-1)*100</x:f>
        <x:v>8.16326530612245</x:v>
      </x:c>
      <x:c r="R33" s="104" t="n">
        <x:f>(RANK.EQ(J33,$J$2:$J$51,1)-1)/(COUNT($J$2:$J$51)-1)*100</x:f>
        <x:v>24.489795918367346</x:v>
      </x:c>
      <x:c r="S33" s="104" t="n">
        <x:f>(RANK.EQ(K33,$K$2:$K$51,1)-1)/(COUNT($K$2:$K$51)-1)*100</x:f>
        <x:v>59.183673469387756</x:v>
      </x:c>
      <x:c r="T33" s="104" t="n">
        <x:f>(RANK.EQ(L33,$L$2:$L$51,1)-1)/(COUNT($L$2:$L$51)-1)*100</x:f>
        <x:v>20.408163265306122</x:v>
      </x:c>
      <x:c r="U33" s="104" t="n">
        <x:f>(RANK.EQ(M33,$M$2:$M$51,1)-1)/(COUNT($M$2:$M$51)-1)*100</x:f>
        <x:v>48.97959183673469</x:v>
      </x:c>
      <x:c r="V33" s="104" t="n">
        <x:f>(RANK.EQ(N33,$N$2:$N$51,0)-1)/(COUNT($N$2:$N$51)-1)*100</x:f>
        <x:v>79.59183673469387</x:v>
      </x:c>
      <x:c r="W33" s="104" t="n">
        <x:f>(RANK.EQ(O33,$O$2:$O$51,1)-1)/(COUNT($O$2:$O$51)-1)*100</x:f>
        <x:v>0</x:v>
      </x:c>
      <x:c r="X33" s="110" t="n">
        <x:f>COUNT(Raw_Data!B33:L33)/11</x:f>
        <x:v>1</x:v>
      </x:c>
    </x:row>
    <x:row r="34">
      <x:c r="A34" s="102" t="n">
        <x:f>RANK.EQ(C34,$C$2:$C$51,0)</x:f>
        <x:v>33</x:v>
      </x:c>
      <x:c r="B34" s="100" t="str">
        <x:v>บางกอกน้อย</x:v>
      </x:c>
      <x:c r="C34" s="104" t="n">
        <x:f>(D34*Weights_Method!$B$5+(100-E34)*Weights_Method!$B$6)/SUM(Weights_Method!$B$5:$B$6)</x:f>
        <x:v>44.13265306122449</x:v>
      </x:c>
      <x:c r="D34" s="104" t="n">
        <x:f>(P34*Weights_Method!$B$10+Q34*Weights_Method!$B$11+R34*Weights_Method!$B$12+S34*Weights_Method!$B$13)/SUM(Weights_Method!$B$10:$B$13)</x:f>
        <x:v>44.38775510204081</x:v>
      </x:c>
      <x:c r="E34" s="104" t="n">
        <x:f>(T34*Weights_Method!$B$17+U34*Weights_Method!$B$18+V34*Weights_Method!$B$19+W34*Weights_Method!$B$20)/SUM(Weights_Method!$B$17:$B$20)</x:f>
        <x:v>56.12244897959184</x:v>
      </x:c>
      <x:c r="F34" s="100" t="str">
        <x:f>IF(C34&gt;=Weights_Method!$E$5,Weights_Method!$D$5,IF(C34&gt;=Weights_Method!$E$6,Weights_Method!$D$6,IF(C34&gt;=Weights_Method!$E$7,Weights_Method!$D$7,IF(C34&gt;=Weights_Method!$E$8,Weights_Method!$D$8,Weights_Method!$D$9))))</x:f>
        <x:v>ปานกลาง</x:v>
      </x:c>
      <x:c r="G34" s="106" t="n">
        <x:f>Raw_Data!J34/Raw_Data!C34*1000</x:f>
        <x:v>3.849543990933784</x:v>
      </x:c>
      <x:c r="H34" s="106" t="n">
        <x:f>Raw_Data!K34/Raw_Data!C34</x:f>
        <x:v>6199.744562968825</x:v>
      </x:c>
      <x:c r="I34" s="106" t="n">
        <x:f>MIN(H34,Weights_Method!$B$23)</x:f>
        <x:v>6199.744562968825</x:v>
      </x:c>
      <x:c r="J34" s="108" t="n">
        <x:f>Raw_Data!L34</x:f>
        <x:v>0.8420429991728317</x:v>
      </x:c>
      <x:c r="K34" s="106" t="n">
        <x:f>Raw_Data!C34/Raw_Data!D34</x:f>
        <x:v>4654.303415941058</x:v>
      </x:c>
      <x:c r="L34" s="106" t="n">
        <x:f>Raw_Data!F34/Raw_Data!E34*100</x:f>
        <x:v>83.33333333333334</x:v>
      </x:c>
      <x:c r="M34" s="106" t="n">
        <x:f>Raw_Data!B34/Raw_Data!C34</x:f>
        <x:v>1.7567411991149646</x:v>
      </x:c>
      <x:c r="N34" s="106" t="n">
        <x:f>Raw_Data!H34/Raw_Data!B34</x:f>
        <x:v>0.4620772279052622</x:v>
      </x:c>
      <x:c r="O34" s="106" t="n">
        <x:f>Raw_Data!I34/Raw_Data!C34*10000</x:f>
        <x:v>10.253458293608677</x:v>
      </x:c>
      <x:c r="P34" s="104" t="n">
        <x:f>(RANK.EQ(G34,$G$2:$G$51,1)-1)/(COUNT($G$2:$G$51)-1)*100</x:f>
        <x:v>10.204081632653061</x:v>
      </x:c>
      <x:c r="Q34" s="104" t="n">
        <x:f>(RANK.EQ(I34,$I$2:$I$51,1)-1)/(COUNT($I$2:$I$51)-1)*100</x:f>
        <x:v>6.122448979591836</x:v>
      </x:c>
      <x:c r="R34" s="104" t="n">
        <x:f>(RANK.EQ(J34,$J$2:$J$51,1)-1)/(COUNT($J$2:$J$51)-1)*100</x:f>
        <x:v>93.87755102040816</x:v>
      </x:c>
      <x:c r="S34" s="104" t="n">
        <x:f>(RANK.EQ(K34,$K$2:$K$51,1)-1)/(COUNT($K$2:$K$51)-1)*100</x:f>
        <x:v>67.3469387755102</x:v>
      </x:c>
      <x:c r="T34" s="104" t="n">
        <x:f>(RANK.EQ(L34,$L$2:$L$51,1)-1)/(COUNT($L$2:$L$51)-1)*100</x:f>
        <x:v>81.63265306122449</x:v>
      </x:c>
      <x:c r="U34" s="104" t="n">
        <x:f>(RANK.EQ(M34,$M$2:$M$51,1)-1)/(COUNT($M$2:$M$51)-1)*100</x:f>
        <x:v>51.02040816326531</x:v>
      </x:c>
      <x:c r="V34" s="104" t="n">
        <x:f>(RANK.EQ(N34,$N$2:$N$51,0)-1)/(COUNT($N$2:$N$51)-1)*100</x:f>
        <x:v>44.89795918367347</x:v>
      </x:c>
      <x:c r="W34" s="104" t="n">
        <x:f>(RANK.EQ(O34,$O$2:$O$51,1)-1)/(COUNT($O$2:$O$51)-1)*100</x:f>
        <x:v>46.93877551020408</x:v>
      </x:c>
      <x:c r="X34" s="110" t="n">
        <x:f>COUNT(Raw_Data!B34:L34)/11</x:f>
        <x:v>1</x:v>
      </x:c>
    </x:row>
    <x:row r="35">
      <x:c r="A35" s="102" t="n">
        <x:f>RANK.EQ(C35,$C$2:$C$51,0)</x:f>
        <x:v>34</x:v>
      </x:c>
      <x:c r="B35" s="100" t="str">
        <x:v>บางบอน</x:v>
      </x:c>
      <x:c r="C35" s="104" t="n">
        <x:f>(D35*Weights_Method!$B$5+(100-E35)*Weights_Method!$B$6)/SUM(Weights_Method!$B$5:$B$6)</x:f>
        <x:v>42.85714285714286</x:v>
      </x:c>
      <x:c r="D35" s="104" t="n">
        <x:f>(P35*Weights_Method!$B$10+Q35*Weights_Method!$B$11+R35*Weights_Method!$B$12+S35*Weights_Method!$B$13)/SUM(Weights_Method!$B$10:$B$13)</x:f>
        <x:v>30.612244897959187</x:v>
      </x:c>
      <x:c r="E35" s="104" t="n">
        <x:f>(T35*Weights_Method!$B$17+U35*Weights_Method!$B$18+V35*Weights_Method!$B$19+W35*Weights_Method!$B$20)/SUM(Weights_Method!$B$17:$B$20)</x:f>
        <x:v>44.89795918367347</x:v>
      </x:c>
      <x:c r="F35" s="100" t="str">
        <x:f>IF(C35&gt;=Weights_Method!$E$5,Weights_Method!$D$5,IF(C35&gt;=Weights_Method!$E$6,Weights_Method!$D$6,IF(C35&gt;=Weights_Method!$E$7,Weights_Method!$D$7,IF(C35&gt;=Weights_Method!$E$8,Weights_Method!$D$8,Weights_Method!$D$9))))</x:f>
        <x:v>ปานกลาง</x:v>
      </x:c>
      <x:c r="G35" s="106" t="n">
        <x:f>Raw_Data!J35/Raw_Data!C35*1000</x:f>
        <x:v>7.789461970733879</x:v>
      </x:c>
      <x:c r="H35" s="106" t="n">
        <x:f>Raw_Data!K35/Raw_Data!C35</x:f>
        <x:v>14481.258925425174</x:v>
      </x:c>
      <x:c r="I35" s="106" t="n">
        <x:f>MIN(H35,Weights_Method!$B$23)</x:f>
        <x:v>14481.258925425174</x:v>
      </x:c>
      <x:c r="J35" s="108" t="n">
        <x:f>Raw_Data!L35</x:f>
        <x:v>0.7529810825328279</x:v>
      </x:c>
      <x:c r="K35" s="106" t="n">
        <x:f>Raw_Data!C35/Raw_Data!D35</x:f>
        <x:v>1551.8491869333718</x:v>
      </x:c>
      <x:c r="L35" s="106" t="n">
        <x:f>Raw_Data!F35/Raw_Data!E35*100</x:f>
        <x:v>16.666666666666664</x:v>
      </x:c>
      <x:c r="M35" s="106" t="n">
        <x:f>Raw_Data!B35/Raw_Data!C35</x:f>
        <x:v>1.839203249318422</x:v>
      </x:c>
      <x:c r="N35" s="106" t="n">
        <x:f>Raw_Data!H35/Raw_Data!B35</x:f>
        <x:v>1.7705610680864796</x:v>
      </x:c>
      <x:c r="O35" s="106" t="n">
        <x:f>Raw_Data!I35/Raw_Data!C35*10000</x:f>
        <x:v>13.353363378400935</x:v>
      </x:c>
      <x:c r="P35" s="104" t="n">
        <x:f>(RANK.EQ(G35,$G$2:$G$51,1)-1)/(COUNT($G$2:$G$51)-1)*100</x:f>
        <x:v>63.26530612244898</x:v>
      </x:c>
      <x:c r="Q35" s="104" t="n">
        <x:f>(RANK.EQ(I35,$I$2:$I$51,1)-1)/(COUNT($I$2:$I$51)-1)*100</x:f>
        <x:v>40.816326530612244</x:v>
      </x:c>
      <x:c r="R35" s="104" t="n">
        <x:f>(RANK.EQ(J35,$J$2:$J$51,1)-1)/(COUNT($J$2:$J$51)-1)*100</x:f>
        <x:v>4.081632653061225</x:v>
      </x:c>
      <x:c r="S35" s="104" t="n">
        <x:f>(RANK.EQ(K35,$K$2:$K$51,1)-1)/(COUNT($K$2:$K$51)-1)*100</x:f>
        <x:v>14.285714285714285</x:v>
      </x:c>
      <x:c r="T35" s="104" t="n">
        <x:f>(RANK.EQ(L35,$L$2:$L$51,1)-1)/(COUNT($L$2:$L$51)-1)*100</x:f>
        <x:v>34.69387755102041</x:v>
      </x:c>
      <x:c r="U35" s="104" t="n">
        <x:f>(RANK.EQ(M35,$M$2:$M$51,1)-1)/(COUNT($M$2:$M$51)-1)*100</x:f>
        <x:v>57.14285714285714</x:v>
      </x:c>
      <x:c r="V35" s="104" t="n">
        <x:f>(RANK.EQ(N35,$N$2:$N$51,0)-1)/(COUNT($N$2:$N$51)-1)*100</x:f>
        <x:v>14.285714285714285</x:v>
      </x:c>
      <x:c r="W35" s="104" t="n">
        <x:f>(RANK.EQ(O35,$O$2:$O$51,1)-1)/(COUNT($O$2:$O$51)-1)*100</x:f>
        <x:v>73.46938775510205</x:v>
      </x:c>
      <x:c r="X35" s="110" t="n">
        <x:f>COUNT(Raw_Data!B35:L35)/11</x:f>
        <x:v>1</x:v>
      </x:c>
    </x:row>
    <x:row r="36">
      <x:c r="A36" s="102" t="n">
        <x:f>RANK.EQ(C36,$C$2:$C$51,0)</x:f>
        <x:v>35</x:v>
      </x:c>
      <x:c r="B36" s="100" t="str">
        <x:v>ตลิ่งชัน</x:v>
      </x:c>
      <x:c r="C36" s="104" t="n">
        <x:f>(D36*Weights_Method!$B$5+(100-E36)*Weights_Method!$B$6)/SUM(Weights_Method!$B$5:$B$6)</x:f>
        <x:v>42.602040816326536</x:v>
      </x:c>
      <x:c r="D36" s="104" t="n">
        <x:f>(P36*Weights_Method!$B$10+Q36*Weights_Method!$B$11+R36*Weights_Method!$B$12+S36*Weights_Method!$B$13)/SUM(Weights_Method!$B$10:$B$13)</x:f>
        <x:v>48.46938775510204</x:v>
      </x:c>
      <x:c r="E36" s="104" t="n">
        <x:f>(T36*Weights_Method!$B$17+U36*Weights_Method!$B$18+V36*Weights_Method!$B$19+W36*Weights_Method!$B$20)/SUM(Weights_Method!$B$17:$B$20)</x:f>
        <x:v>63.265306122448976</x:v>
      </x:c>
      <x:c r="F36" s="100" t="str">
        <x:f>IF(C36&gt;=Weights_Method!$E$5,Weights_Method!$D$5,IF(C36&gt;=Weights_Method!$E$6,Weights_Method!$D$6,IF(C36&gt;=Weights_Method!$E$7,Weights_Method!$D$7,IF(C36&gt;=Weights_Method!$E$8,Weights_Method!$D$8,Weights_Method!$D$9))))</x:f>
        <x:v>ปานกลาง</x:v>
      </x:c>
      <x:c r="G36" s="106" t="n">
        <x:f>Raw_Data!J36/Raw_Data!C36*1000</x:f>
        <x:v>8.367830341132978</x:v>
      </x:c>
      <x:c r="H36" s="106" t="n">
        <x:f>Raw_Data!K36/Raw_Data!C36</x:f>
        <x:v>22795.69211697253</x:v>
      </x:c>
      <x:c r="I36" s="106" t="n">
        <x:f>MIN(H36,Weights_Method!$B$23)</x:f>
        <x:v>22795.69211697253</x:v>
      </x:c>
      <x:c r="J36" s="108" t="n">
        <x:f>Raw_Data!L36</x:f>
        <x:v>0.8002230579622595</x:v>
      </x:c>
      <x:c r="K36" s="106" t="n">
        <x:f>Raw_Data!C36/Raw_Data!D36</x:f>
        <x:v>1532.3789816479527</x:v>
      </x:c>
      <x:c r="L36" s="106" t="n">
        <x:f>Raw_Data!F36/Raw_Data!E36*100</x:f>
        <x:v>18.6046511627907</x:v>
      </x:c>
      <x:c r="M36" s="106" t="n">
        <x:f>Raw_Data!B36/Raw_Data!C36</x:f>
        <x:v>2.233347353507626</x:v>
      </x:c>
      <x:c r="N36" s="106" t="n">
        <x:f>Raw_Data!H36/Raw_Data!B36</x:f>
        <x:v>0.5514288263106247</x:v>
      </x:c>
      <x:c r="O36" s="106" t="n">
        <x:f>Raw_Data!I36/Raw_Data!C36*10000</x:f>
        <x:v>21.251632612401213</x:v>
      </x:c>
      <x:c r="P36" s="104" t="n">
        <x:f>(RANK.EQ(G36,$G$2:$G$51,1)-1)/(COUNT($G$2:$G$51)-1)*100</x:f>
        <x:v>71.42857142857143</x:v>
      </x:c>
      <x:c r="Q36" s="104" t="n">
        <x:f>(RANK.EQ(I36,$I$2:$I$51,1)-1)/(COUNT($I$2:$I$51)-1)*100</x:f>
        <x:v>59.183673469387756</x:v>
      </x:c>
      <x:c r="R36" s="104" t="n">
        <x:f>(RANK.EQ(J36,$J$2:$J$51,1)-1)/(COUNT($J$2:$J$51)-1)*100</x:f>
        <x:v>51.02040816326531</x:v>
      </x:c>
      <x:c r="S36" s="104" t="n">
        <x:f>(RANK.EQ(K36,$K$2:$K$51,1)-1)/(COUNT($K$2:$K$51)-1)*100</x:f>
        <x:v>12.244897959183673</x:v>
      </x:c>
      <x:c r="T36" s="104" t="n">
        <x:f>(RANK.EQ(L36,$L$2:$L$51,1)-1)/(COUNT($L$2:$L$51)-1)*100</x:f>
        <x:v>38.775510204081634</x:v>
      </x:c>
      <x:c r="U36" s="104" t="n">
        <x:f>(RANK.EQ(M36,$M$2:$M$51,1)-1)/(COUNT($M$2:$M$51)-1)*100</x:f>
        <x:v>91.83673469387756</x:v>
      </x:c>
      <x:c r="V36" s="104" t="n">
        <x:f>(RANK.EQ(N36,$N$2:$N$51,0)-1)/(COUNT($N$2:$N$51)-1)*100</x:f>
        <x:v>36.734693877551024</x:v>
      </x:c>
      <x:c r="W36" s="104" t="n">
        <x:f>(RANK.EQ(O36,$O$2:$O$51,1)-1)/(COUNT($O$2:$O$51)-1)*100</x:f>
        <x:v>85.71428571428571</x:v>
      </x:c>
      <x:c r="X36" s="110" t="n">
        <x:f>COUNT(Raw_Data!B36:L36)/11</x:f>
        <x:v>1</x:v>
      </x:c>
    </x:row>
    <x:row r="37">
      <x:c r="A37" s="102" t="n">
        <x:f>RANK.EQ(C37,$C$2:$C$51,0)</x:f>
        <x:v>36</x:v>
      </x:c>
      <x:c r="B37" s="100" t="str">
        <x:v>พระนคร</x:v>
      </x:c>
      <x:c r="C37" s="104" t="n">
        <x:f>(D37*Weights_Method!$B$5+(100-E37)*Weights_Method!$B$6)/SUM(Weights_Method!$B$5:$B$6)</x:f>
        <x:v>42.091836734693885</x:v>
      </x:c>
      <x:c r="D37" s="104" t="n">
        <x:f>(P37*Weights_Method!$B$10+Q37*Weights_Method!$B$11+R37*Weights_Method!$B$12+S37*Weights_Method!$B$13)/SUM(Weights_Method!$B$10:$B$13)</x:f>
        <x:v>46.42857142857143</x:v>
      </x:c>
      <x:c r="E37" s="104" t="n">
        <x:f>(T37*Weights_Method!$B$17+U37*Weights_Method!$B$18+V37*Weights_Method!$B$19+W37*Weights_Method!$B$20)/SUM(Weights_Method!$B$17:$B$20)</x:f>
        <x:v>62.24489795918367</x:v>
      </x:c>
      <x:c r="F37" s="100" t="str">
        <x:f>IF(C37&gt;=Weights_Method!$E$5,Weights_Method!$D$5,IF(C37&gt;=Weights_Method!$E$6,Weights_Method!$D$6,IF(C37&gt;=Weights_Method!$E$7,Weights_Method!$D$7,IF(C37&gt;=Weights_Method!$E$8,Weights_Method!$D$8,Weights_Method!$D$9))))</x:f>
        <x:v>ปานกลาง</x:v>
      </x:c>
      <x:c r="G37" s="106" t="n">
        <x:f>Raw_Data!J37/Raw_Data!C37*1000</x:f>
        <x:v>6.152713504417333</x:v>
      </x:c>
      <x:c r="H37" s="106" t="n">
        <x:f>Raw_Data!K37/Raw_Data!C37</x:f>
        <x:v>10985.485906604965</x:v>
      </x:c>
      <x:c r="I37" s="106" t="n">
        <x:f>MIN(H37,Weights_Method!$B$23)</x:f>
        <x:v>10985.485906604965</x:v>
      </x:c>
      <x:c r="J37" s="108" t="n">
        <x:f>Raw_Data!L37</x:f>
        <x:v>0.8202491931059768</x:v>
      </x:c>
      <x:c r="K37" s="106" t="n">
        <x:f>Raw_Data!C37/Raw_Data!D37</x:f>
        <x:v>3434.971098265896</x:v>
      </x:c>
      <x:c r="L37" s="106" t="n">
        <x:f>Raw_Data!F37/Raw_Data!E37*100</x:f>
        <x:v>84.21052631578947</x:v>
      </x:c>
      <x:c r="M37" s="106" t="n">
        <x:f>Raw_Data!B37/Raw_Data!C37</x:f>
        <x:v>2.0718868321413546</x:v>
      </x:c>
      <x:c r="N37" s="106" t="n">
        <x:f>Raw_Data!H37/Raw_Data!B37</x:f>
        <x:v>7.287875326784944</x:v>
      </x:c>
      <x:c r="O37" s="106" t="n">
        <x:f>Raw_Data!I37/Raw_Data!C37*10000</x:f>
        <x:v>13.672696676482962</x:v>
      </x:c>
      <x:c r="P37" s="104" t="n">
        <x:f>(RANK.EQ(G37,$G$2:$G$51,1)-1)/(COUNT($G$2:$G$51)-1)*100</x:f>
        <x:v>34.69387755102041</x:v>
      </x:c>
      <x:c r="Q37" s="104" t="n">
        <x:f>(RANK.EQ(I37,$I$2:$I$51,1)-1)/(COUNT($I$2:$I$51)-1)*100</x:f>
        <x:v>22.448979591836736</x:v>
      </x:c>
      <x:c r="R37" s="104" t="n">
        <x:f>(RANK.EQ(J37,$J$2:$J$51,1)-1)/(COUNT($J$2:$J$51)-1)*100</x:f>
        <x:v>77.55102040816327</x:v>
      </x:c>
      <x:c r="S37" s="104" t="n">
        <x:f>(RANK.EQ(K37,$K$2:$K$51,1)-1)/(COUNT($K$2:$K$51)-1)*100</x:f>
        <x:v>51.02040816326531</x:v>
      </x:c>
      <x:c r="T37" s="104" t="n">
        <x:f>(RANK.EQ(L37,$L$2:$L$51,1)-1)/(COUNT($L$2:$L$51)-1)*100</x:f>
        <x:v>83.6734693877551</x:v>
      </x:c>
      <x:c r="U37" s="104" t="n">
        <x:f>(RANK.EQ(M37,$M$2:$M$51,1)-1)/(COUNT($M$2:$M$51)-1)*100</x:f>
        <x:v>81.63265306122449</x:v>
      </x:c>
      <x:c r="V37" s="104" t="n">
        <x:f>(RANK.EQ(N37,$N$2:$N$51,0)-1)/(COUNT($N$2:$N$51)-1)*100</x:f>
        <x:v>8.16326530612245</x:v>
      </x:c>
      <x:c r="W37" s="104" t="n">
        <x:f>(RANK.EQ(O37,$O$2:$O$51,1)-1)/(COUNT($O$2:$O$51)-1)*100</x:f>
        <x:v>75.51020408163265</x:v>
      </x:c>
      <x:c r="X37" s="110" t="n">
        <x:f>COUNT(Raw_Data!B37:L37)/11</x:f>
        <x:v>1</x:v>
      </x:c>
    </x:row>
    <x:row r="38">
      <x:c r="A38" s="102" t="n">
        <x:f>RANK.EQ(C38,$C$2:$C$51,0)</x:f>
        <x:v>37</x:v>
      </x:c>
      <x:c r="B38" s="100" t="str">
        <x:v>ดอนเมือง</x:v>
      </x:c>
      <x:c r="C38" s="104" t="n">
        <x:f>(D38*Weights_Method!$B$5+(100-E38)*Weights_Method!$B$6)/SUM(Weights_Method!$B$5:$B$6)</x:f>
        <x:v>42.09183673469388</x:v>
      </x:c>
      <x:c r="D38" s="104" t="n">
        <x:f>(P38*Weights_Method!$B$10+Q38*Weights_Method!$B$11+R38*Weights_Method!$B$12+S38*Weights_Method!$B$13)/SUM(Weights_Method!$B$10:$B$13)</x:f>
        <x:v>30.612244897959183</x:v>
      </x:c>
      <x:c r="E38" s="104" t="n">
        <x:f>(T38*Weights_Method!$B$17+U38*Weights_Method!$B$18+V38*Weights_Method!$B$19+W38*Weights_Method!$B$20)/SUM(Weights_Method!$B$17:$B$20)</x:f>
        <x:v>46.42857142857143</x:v>
      </x:c>
      <x:c r="F38" s="100" t="str">
        <x:f>IF(C38&gt;=Weights_Method!$E$5,Weights_Method!$D$5,IF(C38&gt;=Weights_Method!$E$6,Weights_Method!$D$6,IF(C38&gt;=Weights_Method!$E$7,Weights_Method!$D$7,IF(C38&gt;=Weights_Method!$E$8,Weights_Method!$D$8,Weights_Method!$D$9))))</x:f>
        <x:v>ปานกลาง</x:v>
      </x:c>
      <x:c r="G38" s="106" t="n">
        <x:f>Raw_Data!J38/Raw_Data!C38*1000</x:f>
        <x:v>5.749747923368704</x:v>
      </x:c>
      <x:c r="H38" s="106" t="n">
        <x:f>Raw_Data!K38/Raw_Data!C38</x:f>
        <x:v>9682.803572285975</x:v>
      </x:c>
      <x:c r="I38" s="106" t="n">
        <x:f>MIN(H38,Weights_Method!$B$23)</x:f>
        <x:v>9682.803572285975</x:v>
      </x:c>
      <x:c r="J38" s="108" t="n">
        <x:f>Raw_Data!L38</x:f>
        <x:v>0.796357311091835</x:v>
      </x:c>
      <x:c r="K38" s="106" t="n">
        <x:f>Raw_Data!C38/Raw_Data!D38</x:f>
        <x:v>2263.619813602152</x:v>
      </x:c>
      <x:c r="L38" s="106" t="n">
        <x:f>Raw_Data!F38/Raw_Data!E38*100</x:f>
        <x:v>17.894736842105264</x:v>
      </x:c>
      <x:c r="M38" s="106" t="n">
        <x:f>Raw_Data!B38/Raw_Data!C38</x:f>
        <x:v>1.9931699236567917</x:v>
      </x:c>
      <x:c r="N38" s="106" t="n">
        <x:f>Raw_Data!H38/Raw_Data!B38</x:f>
        <x:v>0.4096189633055701</x:v>
      </x:c>
      <x:c r="O38" s="106" t="n">
        <x:f>Raw_Data!I38/Raw_Data!C38*10000</x:f>
        <x:v>8.762663849810343</x:v>
      </x:c>
      <x:c r="P38" s="104" t="n">
        <x:f>(RANK.EQ(G38,$G$2:$G$51,1)-1)/(COUNT($G$2:$G$51)-1)*100</x:f>
        <x:v>28.57142857142857</x:v>
      </x:c>
      <x:c r="Q38" s="104" t="n">
        <x:f>(RANK.EQ(I38,$I$2:$I$51,1)-1)/(COUNT($I$2:$I$51)-1)*100</x:f>
        <x:v>18.367346938775512</x:v>
      </x:c>
      <x:c r="R38" s="104" t="n">
        <x:f>(RANK.EQ(J38,$J$2:$J$51,1)-1)/(COUNT($J$2:$J$51)-1)*100</x:f>
        <x:v>46.93877551020408</x:v>
      </x:c>
      <x:c r="S38" s="104" t="n">
        <x:f>(RANK.EQ(K38,$K$2:$K$51,1)-1)/(COUNT($K$2:$K$51)-1)*100</x:f>
        <x:v>28.57142857142857</x:v>
      </x:c>
      <x:c r="T38" s="104" t="n">
        <x:f>(RANK.EQ(L38,$L$2:$L$51,1)-1)/(COUNT($L$2:$L$51)-1)*100</x:f>
        <x:v>36.734693877551024</x:v>
      </x:c>
      <x:c r="U38" s="104" t="n">
        <x:f>(RANK.EQ(M38,$M$2:$M$51,1)-1)/(COUNT($M$2:$M$51)-1)*100</x:f>
        <x:v>79.59183673469387</x:v>
      </x:c>
      <x:c r="V38" s="104" t="n">
        <x:f>(RANK.EQ(N38,$N$2:$N$51,0)-1)/(COUNT($N$2:$N$51)-1)*100</x:f>
        <x:v>46.93877551020408</x:v>
      </x:c>
      <x:c r="W38" s="104" t="n">
        <x:f>(RANK.EQ(O38,$O$2:$O$51,1)-1)/(COUNT($O$2:$O$51)-1)*100</x:f>
        <x:v>22.448979591836736</x:v>
      </x:c>
      <x:c r="X38" s="110" t="n">
        <x:f>COUNT(Raw_Data!B38:L38)/11</x:f>
        <x:v>1</x:v>
      </x:c>
    </x:row>
    <x:row r="39">
      <x:c r="A39" s="102" t="n">
        <x:f>RANK.EQ(C39,$C$2:$C$51,0)</x:f>
        <x:v>38</x:v>
      </x:c>
      <x:c r="B39" s="100" t="str">
        <x:v>บางขุนเทียน</x:v>
      </x:c>
      <x:c r="C39" s="104" t="n">
        <x:f>(D39*Weights_Method!$B$5+(100-E39)*Weights_Method!$B$6)/SUM(Weights_Method!$B$5:$B$6)</x:f>
        <x:v>41.58163265306123</x:v>
      </x:c>
      <x:c r="D39" s="104" t="n">
        <x:f>(P39*Weights_Method!$B$10+Q39*Weights_Method!$B$11+R39*Weights_Method!$B$12+S39*Weights_Method!$B$13)/SUM(Weights_Method!$B$10:$B$13)</x:f>
        <x:v>45.40816326530613</x:v>
      </x:c>
      <x:c r="E39" s="104" t="n">
        <x:f>(T39*Weights_Method!$B$17+U39*Weights_Method!$B$18+V39*Weights_Method!$B$19+W39*Weights_Method!$B$20)/SUM(Weights_Method!$B$17:$B$20)</x:f>
        <x:v>62.244897959183675</x:v>
      </x:c>
      <x:c r="F39" s="100" t="str">
        <x:f>IF(C39&gt;=Weights_Method!$E$5,Weights_Method!$D$5,IF(C39&gt;=Weights_Method!$E$6,Weights_Method!$D$6,IF(C39&gt;=Weights_Method!$E$7,Weights_Method!$D$7,IF(C39&gt;=Weights_Method!$E$8,Weights_Method!$D$8,Weights_Method!$D$9))))</x:f>
        <x:v>ปานกลาง</x:v>
      </x:c>
      <x:c r="G39" s="106" t="n">
        <x:f>Raw_Data!J39/Raw_Data!C39*1000</x:f>
        <x:v>8.379682686545195</x:v>
      </x:c>
      <x:c r="H39" s="106" t="n">
        <x:f>Raw_Data!K39/Raw_Data!C39</x:f>
        <x:v>51844.070612232026</x:v>
      </x:c>
      <x:c r="I39" s="106" t="n">
        <x:f>MIN(H39,Weights_Method!$B$23)</x:f>
        <x:v>51844.070612232026</x:v>
      </x:c>
      <x:c r="J39" s="108" t="n">
        <x:f>Raw_Data!L39</x:f>
        <x:v>0.7708888520861185</x:v>
      </x:c>
      <x:c r="K39" s="106" t="n">
        <x:f>Raw_Data!C39/Raw_Data!D39</x:f>
        <x:v>788.0799091865736</x:v>
      </x:c>
      <x:c r="L39" s="106" t="n">
        <x:f>Raw_Data!F39/Raw_Data!E39*100</x:f>
        <x:v>21.568627450980394</x:v>
      </x:c>
      <x:c r="M39" s="106" t="n">
        <x:f>Raw_Data!B39/Raw_Data!C39</x:f>
        <x:v>1.9513515786817508</x:v>
      </x:c>
      <x:c r="N39" s="106" t="n">
        <x:f>Raw_Data!H39/Raw_Data!B39</x:f>
        <x:v>0.3685444112179746</x:v>
      </x:c>
      <x:c r="O39" s="106" t="n">
        <x:f>Raw_Data!I39/Raw_Data!C39*10000</x:f>
        <x:v>14.824783673812703</x:v>
      </x:c>
      <x:c r="P39" s="104" t="n">
        <x:f>(RANK.EQ(G39,$G$2:$G$51,1)-1)/(COUNT($G$2:$G$51)-1)*100</x:f>
        <x:v>73.46938775510205</x:v>
      </x:c>
      <x:c r="Q39" s="104" t="n">
        <x:f>(RANK.EQ(I39,$I$2:$I$51,1)-1)/(COUNT($I$2:$I$51)-1)*100</x:f>
        <x:v>85.71428571428571</x:v>
      </x:c>
      <x:c r="R39" s="104" t="n">
        <x:f>(RANK.EQ(J39,$J$2:$J$51,1)-1)/(COUNT($J$2:$J$51)-1)*100</x:f>
        <x:v>18.367346938775512</x:v>
      </x:c>
      <x:c r="S39" s="104" t="n">
        <x:f>(RANK.EQ(K39,$K$2:$K$51,1)-1)/(COUNT($K$2:$K$51)-1)*100</x:f>
        <x:v>4.081632653061225</x:v>
      </x:c>
      <x:c r="T39" s="104" t="n">
        <x:f>(RANK.EQ(L39,$L$2:$L$51,1)-1)/(COUNT($L$2:$L$51)-1)*100</x:f>
        <x:v>46.93877551020408</x:v>
      </x:c>
      <x:c r="U39" s="104" t="n">
        <x:f>(RANK.EQ(M39,$M$2:$M$51,1)-1)/(COUNT($M$2:$M$51)-1)*100</x:f>
        <x:v>73.46938775510205</x:v>
      </x:c>
      <x:c r="V39" s="104" t="n">
        <x:f>(RANK.EQ(N39,$N$2:$N$51,0)-1)/(COUNT($N$2:$N$51)-1)*100</x:f>
        <x:v>51.02040816326531</x:v>
      </x:c>
      <x:c r="W39" s="104" t="n">
        <x:f>(RANK.EQ(O39,$O$2:$O$51,1)-1)/(COUNT($O$2:$O$51)-1)*100</x:f>
        <x:v>77.55102040816327</x:v>
      </x:c>
      <x:c r="X39" s="110" t="n">
        <x:f>COUNT(Raw_Data!B39:L39)/11</x:f>
        <x:v>1</x:v>
      </x:c>
    </x:row>
    <x:row r="40">
      <x:c r="A40" s="102" t="n">
        <x:f>RANK.EQ(C40,$C$2:$C$51,0)</x:f>
        <x:v>39</x:v>
      </x:c>
      <x:c r="B40" s="100" t="str">
        <x:v>บางแค</x:v>
      </x:c>
      <x:c r="C40" s="104" t="n">
        <x:f>(D40*Weights_Method!$B$5+(100-E40)*Weights_Method!$B$6)/SUM(Weights_Method!$B$5:$B$6)</x:f>
        <x:v>41.326530612244895</x:v>
      </x:c>
      <x:c r="D40" s="104" t="n">
        <x:f>(P40*Weights_Method!$B$10+Q40*Weights_Method!$B$11+R40*Weights_Method!$B$12+S40*Weights_Method!$B$13)/SUM(Weights_Method!$B$10:$B$13)</x:f>
        <x:v>39.285714285714285</x:v>
      </x:c>
      <x:c r="E40" s="104" t="n">
        <x:f>(T40*Weights_Method!$B$17+U40*Weights_Method!$B$18+V40*Weights_Method!$B$19+W40*Weights_Method!$B$20)/SUM(Weights_Method!$B$17:$B$20)</x:f>
        <x:v>56.63265306122449</x:v>
      </x:c>
      <x:c r="F40" s="100" t="str">
        <x:f>IF(C40&gt;=Weights_Method!$E$5,Weights_Method!$D$5,IF(C40&gt;=Weights_Method!$E$6,Weights_Method!$D$6,IF(C40&gt;=Weights_Method!$E$7,Weights_Method!$D$7,IF(C40&gt;=Weights_Method!$E$8,Weights_Method!$D$8,Weights_Method!$D$9))))</x:f>
        <x:v>ปานกลาง</x:v>
      </x:c>
      <x:c r="G40" s="106" t="n">
        <x:f>Raw_Data!J40/Raw_Data!C40*1000</x:f>
        <x:v>7.733169884564307</x:v>
      </x:c>
      <x:c r="H40" s="106" t="n">
        <x:f>Raw_Data!K40/Raw_Data!C40</x:f>
        <x:v>24076.616610481153</x:v>
      </x:c>
      <x:c r="I40" s="106" t="n">
        <x:f>MIN(H40,Weights_Method!$B$23)</x:f>
        <x:v>24076.616610481153</x:v>
      </x:c>
      <x:c r="J40" s="108" t="n">
        <x:f>Raw_Data!L40</x:f>
        <x:v>0.754292003568578</x:v>
      </x:c>
      <x:c r="K40" s="106" t="n">
        <x:f>Raw_Data!C40/Raw_Data!D40</x:f>
        <x:v>2201.9524923519884</x:v>
      </x:c>
      <x:c r="L40" s="106" t="n">
        <x:f>Raw_Data!F40/Raw_Data!E40*100</x:f>
        <x:v>47.91666666666667</x:v>
      </x:c>
      <x:c r="M40" s="106" t="n">
        <x:f>Raw_Data!B40/Raw_Data!C40</x:f>
        <x:v>1.9662989069363572</x:v>
      </x:c>
      <x:c r="N40" s="106" t="n">
        <x:f>Raw_Data!H40/Raw_Data!B40</x:f>
        <x:v>0.6064390771037141</x:v>
      </x:c>
      <x:c r="O40" s="106" t="n">
        <x:f>Raw_Data!I40/Raw_Data!C40*10000</x:f>
        <x:v>11.237102870569005</x:v>
      </x:c>
      <x:c r="P40" s="104" t="n">
        <x:f>(RANK.EQ(G40,$G$2:$G$51,1)-1)/(COUNT($G$2:$G$51)-1)*100</x:f>
        <x:v>61.224489795918366</x:v>
      </x:c>
      <x:c r="Q40" s="104" t="n">
        <x:f>(RANK.EQ(I40,$I$2:$I$51,1)-1)/(COUNT($I$2:$I$51)-1)*100</x:f>
        <x:v>63.26530612244898</x:v>
      </x:c>
      <x:c r="R40" s="104" t="n">
        <x:f>(RANK.EQ(J40,$J$2:$J$51,1)-1)/(COUNT($J$2:$J$51)-1)*100</x:f>
        <x:v>6.122448979591836</x:v>
      </x:c>
      <x:c r="S40" s="104" t="n">
        <x:f>(RANK.EQ(K40,$K$2:$K$51,1)-1)/(COUNT($K$2:$K$51)-1)*100</x:f>
        <x:v>26.53061224489796</x:v>
      </x:c>
      <x:c r="T40" s="104" t="n">
        <x:f>(RANK.EQ(L40,$L$2:$L$51,1)-1)/(COUNT($L$2:$L$51)-1)*100</x:f>
        <x:v>61.224489795918366</x:v>
      </x:c>
      <x:c r="U40" s="104" t="n">
        <x:f>(RANK.EQ(M40,$M$2:$M$51,1)-1)/(COUNT($M$2:$M$51)-1)*100</x:f>
        <x:v>77.55102040816327</x:v>
      </x:c>
      <x:c r="V40" s="104" t="n">
        <x:f>(RANK.EQ(N40,$N$2:$N$51,0)-1)/(COUNT($N$2:$N$51)-1)*100</x:f>
        <x:v>32.6530612244898</x:v>
      </x:c>
      <x:c r="W40" s="104" t="n">
        <x:f>(RANK.EQ(O40,$O$2:$O$51,1)-1)/(COUNT($O$2:$O$51)-1)*100</x:f>
        <x:v>55.10204081632652</x:v>
      </x:c>
      <x:c r="X40" s="110" t="n">
        <x:f>COUNT(Raw_Data!B40:L40)/11</x:f>
        <x:v>1</x:v>
      </x:c>
    </x:row>
    <x:row r="41">
      <x:c r="A41" s="102" t="n">
        <x:f>RANK.EQ(C41,$C$2:$C$51,0)</x:f>
        <x:v>39</x:v>
      </x:c>
      <x:c r="B41" s="100" t="str">
        <x:v>คลองสามวา</x:v>
      </x:c>
      <x:c r="C41" s="104" t="n">
        <x:f>(D41*Weights_Method!$B$5+(100-E41)*Weights_Method!$B$6)/SUM(Weights_Method!$B$5:$B$6)</x:f>
        <x:v>41.326530612244895</x:v>
      </x:c>
      <x:c r="D41" s="104" t="n">
        <x:f>(P41*Weights_Method!$B$10+Q41*Weights_Method!$B$11+R41*Weights_Method!$B$12+S41*Weights_Method!$B$13)/SUM(Weights_Method!$B$10:$B$13)</x:f>
        <x:v>34.69387755102041</x:v>
      </x:c>
      <x:c r="E41" s="104" t="n">
        <x:f>(T41*Weights_Method!$B$17+U41*Weights_Method!$B$18+V41*Weights_Method!$B$19+W41*Weights_Method!$B$20)/SUM(Weights_Method!$B$17:$B$20)</x:f>
        <x:v>52.04081632653061</x:v>
      </x:c>
      <x:c r="F41" s="100" t="str">
        <x:f>IF(C41&gt;=Weights_Method!$E$5,Weights_Method!$D$5,IF(C41&gt;=Weights_Method!$E$6,Weights_Method!$D$6,IF(C41&gt;=Weights_Method!$E$7,Weights_Method!$D$7,IF(C41&gt;=Weights_Method!$E$8,Weights_Method!$D$8,Weights_Method!$D$9))))</x:f>
        <x:v>ปานกลาง</x:v>
      </x:c>
      <x:c r="G41" s="106" t="n">
        <x:f>Raw_Data!J41/Raw_Data!C41*1000</x:f>
        <x:v>10.121866851152147</x:v>
      </x:c>
      <x:c r="H41" s="106" t="n">
        <x:f>Raw_Data!K41/Raw_Data!C41</x:f>
        <x:v>15447.772869990953</x:v>
      </x:c>
      <x:c r="I41" s="106" t="n">
        <x:f>MIN(H41,Weights_Method!$B$23)</x:f>
        <x:v>15447.772869990953</x:v>
      </x:c>
      <x:c r="J41" s="108" t="n">
        <x:f>Raw_Data!L41</x:f>
        <x:v>0.7606890468816877</x:v>
      </x:c>
      <x:c r="K41" s="106" t="n">
        <x:f>Raw_Data!C41/Raw_Data!D41</x:f>
        <x:v>848.8426720633142</x:v>
      </x:c>
      <x:c r="L41" s="106" t="n">
        <x:f>Raw_Data!F41/Raw_Data!E41*100</x:f>
        <x:v>0</x:v>
      </x:c>
      <x:c r="M41" s="106" t="n">
        <x:f>Raw_Data!B41/Raw_Data!C41</x:f>
        <x:v>2.2809962215954447</x:v>
      </x:c>
      <x:c r="N41" s="106" t="n">
        <x:f>Raw_Data!H41/Raw_Data!B41</x:f>
        <x:v>1.6079809249175263</x:v>
      </x:c>
      <x:c r="O41" s="106" t="n">
        <x:f>Raw_Data!I41/Raw_Data!C41*10000</x:f>
        <x:v>28.524293544782076</x:v>
      </x:c>
      <x:c r="P41" s="104" t="n">
        <x:f>(RANK.EQ(G41,$G$2:$G$51,1)-1)/(COUNT($G$2:$G$51)-1)*100</x:f>
        <x:v>79.59183673469387</x:v>
      </x:c>
      <x:c r="Q41" s="104" t="n">
        <x:f>(RANK.EQ(I41,$I$2:$I$51,1)-1)/(COUNT($I$2:$I$51)-1)*100</x:f>
        <x:v>42.857142857142854</x:v>
      </x:c>
      <x:c r="R41" s="104" t="n">
        <x:f>(RANK.EQ(J41,$J$2:$J$51,1)-1)/(COUNT($J$2:$J$51)-1)*100</x:f>
        <x:v>10.204081632653061</x:v>
      </x:c>
      <x:c r="S41" s="104" t="n">
        <x:f>(RANK.EQ(K41,$K$2:$K$51,1)-1)/(COUNT($K$2:$K$51)-1)*100</x:f>
        <x:v>6.122448979591836</x:v>
      </x:c>
      <x:c r="T41" s="104" t="n">
        <x:f>(RANK.EQ(L41,$L$2:$L$51,1)-1)/(COUNT($L$2:$L$51)-1)*100</x:f>
        <x:v>0</x:v>
      </x:c>
      <x:c r="U41" s="104" t="n">
        <x:f>(RANK.EQ(M41,$M$2:$M$51,1)-1)/(COUNT($M$2:$M$51)-1)*100</x:f>
        <x:v>93.87755102040816</x:v>
      </x:c>
      <x:c r="V41" s="104" t="n">
        <x:f>(RANK.EQ(N41,$N$2:$N$51,0)-1)/(COUNT($N$2:$N$51)-1)*100</x:f>
        <x:v>20.408163265306122</x:v>
      </x:c>
      <x:c r="W41" s="104" t="n">
        <x:f>(RANK.EQ(O41,$O$2:$O$51,1)-1)/(COUNT($O$2:$O$51)-1)*100</x:f>
        <x:v>93.87755102040816</x:v>
      </x:c>
      <x:c r="X41" s="110" t="n">
        <x:f>COUNT(Raw_Data!B41:L41)/11</x:f>
        <x:v>1</x:v>
      </x:c>
    </x:row>
    <x:row r="42">
      <x:c r="A42" s="102" t="n">
        <x:f>RANK.EQ(C42,$C$2:$C$51,0)</x:f>
        <x:v>41</x:v>
      </x:c>
      <x:c r="B42" s="100" t="str">
        <x:v>สายไหม</x:v>
      </x:c>
      <x:c r="C42" s="104" t="n">
        <x:f>(D42*Weights_Method!$B$5+(100-E42)*Weights_Method!$B$6)/SUM(Weights_Method!$B$5:$B$6)</x:f>
        <x:v>40.30612244897959</x:v>
      </x:c>
      <x:c r="D42" s="104" t="n">
        <x:f>(P42*Weights_Method!$B$10+Q42*Weights_Method!$B$11+R42*Weights_Method!$B$12+S42*Weights_Method!$B$13)/SUM(Weights_Method!$B$10:$B$13)</x:f>
        <x:v>35.714285714285715</x:v>
      </x:c>
      <x:c r="E42" s="104" t="n">
        <x:f>(T42*Weights_Method!$B$17+U42*Weights_Method!$B$18+V42*Weights_Method!$B$19+W42*Weights_Method!$B$20)/SUM(Weights_Method!$B$17:$B$20)</x:f>
        <x:v>55.10204081632653</x:v>
      </x:c>
      <x:c r="F42" s="100" t="str">
        <x:f>IF(C42&gt;=Weights_Method!$E$5,Weights_Method!$D$5,IF(C42&gt;=Weights_Method!$E$6,Weights_Method!$D$6,IF(C42&gt;=Weights_Method!$E$7,Weights_Method!$D$7,IF(C42&gt;=Weights_Method!$E$8,Weights_Method!$D$8,Weights_Method!$D$9))))</x:f>
        <x:v>ปานกลาง</x:v>
      </x:c>
      <x:c r="G42" s="106" t="n">
        <x:f>Raw_Data!J42/Raw_Data!C42*1000</x:f>
        <x:v>7.177395656161785</x:v>
      </x:c>
      <x:c r="H42" s="106" t="n">
        <x:f>Raw_Data!K42/Raw_Data!C42</x:f>
        <x:v>13519.55973890665</x:v>
      </x:c>
      <x:c r="I42" s="106" t="n">
        <x:f>MIN(H42,Weights_Method!$B$23)</x:f>
        <x:v>13519.55973890665</x:v>
      </x:c>
      <x:c r="J42" s="108" t="n">
        <x:f>Raw_Data!L42</x:f>
        <x:v>0.7864018868777995</x:v>
      </x:c>
      <x:c r="K42" s="106" t="n">
        <x:f>Raw_Data!C42/Raw_Data!D42</x:f>
        <x:v>2517.023422615712</x:v>
      </x:c>
      <x:c r="L42" s="106" t="n">
        <x:f>Raw_Data!F42/Raw_Data!E42*100</x:f>
        <x:v>5.063291139240507</x:v>
      </x:c>
      <x:c r="M42" s="106" t="n">
        <x:f>Raw_Data!B42/Raw_Data!C42</x:f>
        <x:v>1.8929713171322475</x:v>
      </x:c>
      <x:c r="N42" s="106" t="n">
        <x:f>Raw_Data!H42/Raw_Data!B42</x:f>
        <x:v>0.05089027402093379</x:v>
      </x:c>
      <x:c r="O42" s="106" t="n">
        <x:f>Raw_Data!I42/Raw_Data!C42*10000</x:f>
        <x:v>11.30929588501919</x:v>
      </x:c>
      <x:c r="P42" s="104" t="n">
        <x:f>(RANK.EQ(G42,$G$2:$G$51,1)-1)/(COUNT($G$2:$G$51)-1)*100</x:f>
        <x:v>46.93877551020408</x:v>
      </x:c>
      <x:c r="Q42" s="104" t="n">
        <x:f>(RANK.EQ(I42,$I$2:$I$51,1)-1)/(COUNT($I$2:$I$51)-1)*100</x:f>
        <x:v>30.612244897959183</x:v>
      </x:c>
      <x:c r="R42" s="104" t="n">
        <x:f>(RANK.EQ(J42,$J$2:$J$51,1)-1)/(COUNT($J$2:$J$51)-1)*100</x:f>
        <x:v>32.6530612244898</x:v>
      </x:c>
      <x:c r="S42" s="104" t="n">
        <x:f>(RANK.EQ(K42,$K$2:$K$51,1)-1)/(COUNT($K$2:$K$51)-1)*100</x:f>
        <x:v>32.6530612244898</x:v>
      </x:c>
      <x:c r="T42" s="104" t="n">
        <x:f>(RANK.EQ(L42,$L$2:$L$51,1)-1)/(COUNT($L$2:$L$51)-1)*100</x:f>
        <x:v>18.367346938775512</x:v>
      </x:c>
      <x:c r="U42" s="104" t="n">
        <x:f>(RANK.EQ(M42,$M$2:$M$51,1)-1)/(COUNT($M$2:$M$51)-1)*100</x:f>
        <x:v>67.3469387755102</x:v>
      </x:c>
      <x:c r="V42" s="104" t="n">
        <x:f>(RANK.EQ(N42,$N$2:$N$51,0)-1)/(COUNT($N$2:$N$51)-1)*100</x:f>
        <x:v>77.55102040816327</x:v>
      </x:c>
      <x:c r="W42" s="104" t="n">
        <x:f>(RANK.EQ(O42,$O$2:$O$51,1)-1)/(COUNT($O$2:$O$51)-1)*100</x:f>
        <x:v>57.14285714285714</x:v>
      </x:c>
      <x:c r="X42" s="110" t="n">
        <x:f>COUNT(Raw_Data!B42:L42)/11</x:f>
        <x:v>1</x:v>
      </x:c>
    </x:row>
    <x:row r="43">
      <x:c r="A43" s="102" t="n">
        <x:f>RANK.EQ(C43,$C$2:$C$51,0)</x:f>
        <x:v>42</x:v>
      </x:c>
      <x:c r="B43" s="100" t="str">
        <x:v>ทุ่งครุ</x:v>
      </x:c>
      <x:c r="C43" s="104" t="n">
        <x:f>(D43*Weights_Method!$B$5+(100-E43)*Weights_Method!$B$6)/SUM(Weights_Method!$B$5:$B$6)</x:f>
        <x:v>39.285714285714285</x:v>
      </x:c>
      <x:c r="D43" s="104" t="n">
        <x:f>(P43*Weights_Method!$B$10+Q43*Weights_Method!$B$11+R43*Weights_Method!$B$12+S43*Weights_Method!$B$13)/SUM(Weights_Method!$B$10:$B$13)</x:f>
        <x:v>31.632653061224488</x:v>
      </x:c>
      <x:c r="E43" s="104" t="n">
        <x:f>(T43*Weights_Method!$B$17+U43*Weights_Method!$B$18+V43*Weights_Method!$B$19+W43*Weights_Method!$B$20)/SUM(Weights_Method!$B$17:$B$20)</x:f>
        <x:v>53.06122448979592</x:v>
      </x:c>
      <x:c r="F43" s="100" t="str">
        <x:f>IF(C43&gt;=Weights_Method!$E$5,Weights_Method!$D$5,IF(C43&gt;=Weights_Method!$E$6,Weights_Method!$D$6,IF(C43&gt;=Weights_Method!$E$7,Weights_Method!$D$7,IF(C43&gt;=Weights_Method!$E$8,Weights_Method!$D$8,Weights_Method!$D$9))))</x:f>
        <x:v>ต่ำ</x:v>
      </x:c>
      <x:c r="G43" s="106" t="n">
        <x:f>Raw_Data!J43/Raw_Data!C43*1000</x:f>
        <x:v>6.3098044654000836</x:v>
      </x:c>
      <x:c r="H43" s="106" t="n">
        <x:f>Raw_Data!K43/Raw_Data!C43</x:f>
        <x:v>9436.017889335737</x:v>
      </x:c>
      <x:c r="I43" s="106" t="n">
        <x:f>MIN(H43,Weights_Method!$B$23)</x:f>
        <x:v>9436.017889335737</x:v>
      </x:c>
      <x:c r="J43" s="108" t="n">
        <x:f>Raw_Data!L43</x:f>
        <x:v>0.7977272347678351</x:v>
      </x:c>
      <x:c r="K43" s="106" t="n">
        <x:f>Raw_Data!C43/Raw_Data!D43</x:f>
        <x:v>1876.5817637682574</x:v>
      </x:c>
      <x:c r="L43" s="106" t="n">
        <x:f>Raw_Data!F43/Raw_Data!E43*100</x:f>
        <x:v>3.4482758620689653</x:v>
      </x:c>
      <x:c r="M43" s="106" t="n">
        <x:f>Raw_Data!B43/Raw_Data!C43</x:f>
        <x:v>2.1506032450422965</x:v>
      </x:c>
      <x:c r="N43" s="106" t="n">
        <x:f>Raw_Data!H43/Raw_Data!B43</x:f>
        <x:v>0.8424361619809131</x:v>
      </x:c>
      <x:c r="O43" s="106" t="n">
        <x:f>Raw_Data!I43/Raw_Data!C43*10000</x:f>
        <x:v>18.37470531132991</x:v>
      </x:c>
      <x:c r="P43" s="104" t="n">
        <x:f>(RANK.EQ(G43,$G$2:$G$51,1)-1)/(COUNT($G$2:$G$51)-1)*100</x:f>
        <x:v>36.734693877551024</x:v>
      </x:c>
      <x:c r="Q43" s="104" t="n">
        <x:f>(RANK.EQ(I43,$I$2:$I$51,1)-1)/(COUNT($I$2:$I$51)-1)*100</x:f>
        <x:v>16.3265306122449</x:v>
      </x:c>
      <x:c r="R43" s="104" t="n">
        <x:f>(RANK.EQ(J43,$J$2:$J$51,1)-1)/(COUNT($J$2:$J$51)-1)*100</x:f>
        <x:v>48.97959183673469</x:v>
      </x:c>
      <x:c r="S43" s="104" t="n">
        <x:f>(RANK.EQ(K43,$K$2:$K$51,1)-1)/(COUNT($K$2:$K$51)-1)*100</x:f>
        <x:v>24.489795918367346</x:v>
      </x:c>
      <x:c r="T43" s="104" t="n">
        <x:f>(RANK.EQ(L43,$L$2:$L$51,1)-1)/(COUNT($L$2:$L$51)-1)*100</x:f>
        <x:v>14.285714285714285</x:v>
      </x:c>
      <x:c r="U43" s="104" t="n">
        <x:f>(RANK.EQ(M43,$M$2:$M$51,1)-1)/(COUNT($M$2:$M$51)-1)*100</x:f>
        <x:v>85.71428571428571</x:v>
      </x:c>
      <x:c r="V43" s="104" t="n">
        <x:f>(RANK.EQ(N43,$N$2:$N$51,0)-1)/(COUNT($N$2:$N$51)-1)*100</x:f>
        <x:v>28.57142857142857</x:v>
      </x:c>
      <x:c r="W43" s="104" t="n">
        <x:f>(RANK.EQ(O43,$O$2:$O$51,1)-1)/(COUNT($O$2:$O$51)-1)*100</x:f>
        <x:v>83.6734693877551</x:v>
      </x:c>
      <x:c r="X43" s="110" t="n">
        <x:f>COUNT(Raw_Data!B43:L43)/11</x:f>
        <x:v>1</x:v>
      </x:c>
    </x:row>
    <x:row r="44">
      <x:c r="A44" s="102" t="n">
        <x:f>RANK.EQ(C44,$C$2:$C$51,0)</x:f>
        <x:v>43</x:v>
      </x:c>
      <x:c r="B44" s="100" t="str">
        <x:v>มีนบุรี</x:v>
      </x:c>
      <x:c r="C44" s="104" t="n">
        <x:f>(D44*Weights_Method!$B$5+(100-E44)*Weights_Method!$B$6)/SUM(Weights_Method!$B$5:$B$6)</x:f>
        <x:v>38.01020408163265</x:v>
      </x:c>
      <x:c r="D44" s="104" t="n">
        <x:f>(P44*Weights_Method!$B$10+Q44*Weights_Method!$B$11+R44*Weights_Method!$B$12+S44*Weights_Method!$B$13)/SUM(Weights_Method!$B$10:$B$13)</x:f>
        <x:v>28.06122448979592</x:v>
      </x:c>
      <x:c r="E44" s="104" t="n">
        <x:f>(T44*Weights_Method!$B$17+U44*Weights_Method!$B$18+V44*Weights_Method!$B$19+W44*Weights_Method!$B$20)/SUM(Weights_Method!$B$17:$B$20)</x:f>
        <x:v>52.04081632653061</x:v>
      </x:c>
      <x:c r="F44" s="100" t="str">
        <x:f>IF(C44&gt;=Weights_Method!$E$5,Weights_Method!$D$5,IF(C44&gt;=Weights_Method!$E$6,Weights_Method!$D$6,IF(C44&gt;=Weights_Method!$E$7,Weights_Method!$D$7,IF(C44&gt;=Weights_Method!$E$8,Weights_Method!$D$8,Weights_Method!$D$9))))</x:f>
        <x:v>ต่ำ</x:v>
      </x:c>
      <x:c r="G44" s="106" t="n">
        <x:f>Raw_Data!J44/Raw_Data!C44*1000</x:f>
        <x:v>6.898213694008495</x:v>
      </x:c>
      <x:c r="H44" s="106" t="n">
        <x:f>Raw_Data!K44/Raw_Data!C44</x:f>
        <x:v>13772.102900864536</x:v>
      </x:c>
      <x:c r="I44" s="106" t="n">
        <x:f>MIN(H44,Weights_Method!$B$23)</x:f>
        <x:v>13772.102900864536</x:v>
      </x:c>
      <x:c r="J44" s="108" t="n">
        <x:f>Raw_Data!L44</x:f>
        <x:v>0.7726904335561694</x:v>
      </x:c>
      <x:c r="K44" s="106" t="n">
        <x:f>Raw_Data!C44/Raw_Data!D44</x:f>
        <x:v>1043.1927095608453</x:v>
      </x:c>
      <x:c r="L44" s="106" t="n">
        <x:f>Raw_Data!F44/Raw_Data!E44*100</x:f>
        <x:v>1.6129032258064515</x:v>
      </x:c>
      <x:c r="M44" s="106" t="n">
        <x:f>Raw_Data!B44/Raw_Data!C44</x:f>
        <x:v>2.099993975359219</x:v>
      </x:c>
      <x:c r="N44" s="106" t="n">
        <x:f>Raw_Data!H44/Raw_Data!B44</x:f>
        <x:v>1.610807089014323</x:v>
      </x:c>
      <x:c r="O44" s="106" t="n">
        <x:f>Raw_Data!I44/Raw_Data!C44*10000</x:f>
        <x:v>33.43675633340362</x:v>
      </x:c>
      <x:c r="P44" s="104" t="n">
        <x:f>(RANK.EQ(G44,$G$2:$G$51,1)-1)/(COUNT($G$2:$G$51)-1)*100</x:f>
        <x:v>44.89795918367347</x:v>
      </x:c>
      <x:c r="Q44" s="104" t="n">
        <x:f>(RANK.EQ(I44,$I$2:$I$51,1)-1)/(COUNT($I$2:$I$51)-1)*100</x:f>
        <x:v>34.69387755102041</x:v>
      </x:c>
      <x:c r="R44" s="104" t="n">
        <x:f>(RANK.EQ(J44,$J$2:$J$51,1)-1)/(COUNT($J$2:$J$51)-1)*100</x:f>
        <x:v>22.448979591836736</x:v>
      </x:c>
      <x:c r="S44" s="104" t="n">
        <x:f>(RANK.EQ(K44,$K$2:$K$51,1)-1)/(COUNT($K$2:$K$51)-1)*100</x:f>
        <x:v>10.204081632653061</x:v>
      </x:c>
      <x:c r="T44" s="104" t="n">
        <x:f>(RANK.EQ(L44,$L$2:$L$51,1)-1)/(COUNT($L$2:$L$51)-1)*100</x:f>
        <x:v>10.204081632653061</x:v>
      </x:c>
      <x:c r="U44" s="104" t="n">
        <x:f>(RANK.EQ(M44,$M$2:$M$51,1)-1)/(COUNT($M$2:$M$51)-1)*100</x:f>
        <x:v>83.6734693877551</x:v>
      </x:c>
      <x:c r="V44" s="104" t="n">
        <x:f>(RANK.EQ(N44,$N$2:$N$51,0)-1)/(COUNT($N$2:$N$51)-1)*100</x:f>
        <x:v>18.367346938775512</x:v>
      </x:c>
      <x:c r="W44" s="104" t="n">
        <x:f>(RANK.EQ(O44,$O$2:$O$51,1)-1)/(COUNT($O$2:$O$51)-1)*100</x:f>
        <x:v>95.91836734693877</x:v>
      </x:c>
      <x:c r="X44" s="110" t="n">
        <x:f>COUNT(Raw_Data!B44:L44)/11</x:f>
        <x:v>1</x:v>
      </x:c>
    </x:row>
    <x:row r="45">
      <x:c r="A45" s="102" t="n">
        <x:f>RANK.EQ(C45,$C$2:$C$51,0)</x:f>
        <x:v>43</x:v>
      </x:c>
      <x:c r="B45" s="100" t="str">
        <x:v>คันนายาว</x:v>
      </x:c>
      <x:c r="C45" s="104" t="n">
        <x:f>(D45*Weights_Method!$B$5+(100-E45)*Weights_Method!$B$6)/SUM(Weights_Method!$B$5:$B$6)</x:f>
        <x:v>38.01020408163265</x:v>
      </x:c>
      <x:c r="D45" s="104" t="n">
        <x:f>(P45*Weights_Method!$B$10+Q45*Weights_Method!$B$11+R45*Weights_Method!$B$12+S45*Weights_Method!$B$13)/SUM(Weights_Method!$B$10:$B$13)</x:f>
        <x:v>43.87755102040816</x:v>
      </x:c>
      <x:c r="E45" s="104" t="n">
        <x:f>(T45*Weights_Method!$B$17+U45*Weights_Method!$B$18+V45*Weights_Method!$B$19+W45*Weights_Method!$B$20)/SUM(Weights_Method!$B$17:$B$20)</x:f>
        <x:v>67.85714285714286</x:v>
      </x:c>
      <x:c r="F45" s="100" t="str">
        <x:f>IF(C45&gt;=Weights_Method!$E$5,Weights_Method!$D$5,IF(C45&gt;=Weights_Method!$E$6,Weights_Method!$D$6,IF(C45&gt;=Weights_Method!$E$7,Weights_Method!$D$7,IF(C45&gt;=Weights_Method!$E$8,Weights_Method!$D$8,Weights_Method!$D$9))))</x:f>
        <x:v>ต่ำ</x:v>
      </x:c>
      <x:c r="G45" s="106" t="n">
        <x:f>Raw_Data!J45/Raw_Data!C45*1000</x:f>
        <x:v>8.001163805644458</x:v>
      </x:c>
      <x:c r="H45" s="106" t="n">
        <x:f>Raw_Data!K45/Raw_Data!C45</x:f>
        <x:v>16336.538405586267</x:v>
      </x:c>
      <x:c r="I45" s="106" t="n">
        <x:f>MIN(H45,Weights_Method!$B$23)</x:f>
        <x:v>16336.538405586267</x:v>
      </x:c>
      <x:c r="J45" s="108" t="n">
        <x:f>Raw_Data!L45</x:f>
        <x:v>0.7917548214752427</x:v>
      </x:c>
      <x:c r="K45" s="106" t="n">
        <x:f>Raw_Data!C45/Raw_Data!D45</x:f>
        <x:v>1852.11701308699</x:v>
      </x:c>
      <x:c r="L45" s="106" t="n">
        <x:f>Raw_Data!F45/Raw_Data!E45*100</x:f>
        <x:v>34.146341463414636</x:v>
      </x:c>
      <x:c r="M45" s="106" t="n">
        <x:f>Raw_Data!B45/Raw_Data!C45</x:f>
        <x:v>1.9575626584646078</x:v>
      </x:c>
      <x:c r="N45" s="106" t="n">
        <x:f>Raw_Data!H45/Raw_Data!B45</x:f>
        <x:v>0.16430982865150648</x:v>
      </x:c>
      <x:c r="O45" s="106" t="n">
        <x:f>Raw_Data!I45/Raw_Data!C45*10000</x:f>
        <x:v>18.08055197639137</x:v>
      </x:c>
      <x:c r="P45" s="104" t="n">
        <x:f>(RANK.EQ(G45,$G$2:$G$51,1)-1)/(COUNT($G$2:$G$51)-1)*100</x:f>
        <x:v>67.3469387755102</x:v>
      </x:c>
      <x:c r="Q45" s="104" t="n">
        <x:f>(RANK.EQ(I45,$I$2:$I$51,1)-1)/(COUNT($I$2:$I$51)-1)*100</x:f>
        <x:v>44.89795918367347</x:v>
      </x:c>
      <x:c r="R45" s="104" t="n">
        <x:f>(RANK.EQ(J45,$J$2:$J$51,1)-1)/(COUNT($J$2:$J$51)-1)*100</x:f>
        <x:v>42.857142857142854</x:v>
      </x:c>
      <x:c r="S45" s="104" t="n">
        <x:f>(RANK.EQ(K45,$K$2:$K$51,1)-1)/(COUNT($K$2:$K$51)-1)*100</x:f>
        <x:v>20.408163265306122</x:v>
      </x:c>
      <x:c r="T45" s="104" t="n">
        <x:f>(RANK.EQ(L45,$L$2:$L$51,1)-1)/(COUNT($L$2:$L$51)-1)*100</x:f>
        <x:v>57.14285714285714</x:v>
      </x:c>
      <x:c r="U45" s="104" t="n">
        <x:f>(RANK.EQ(M45,$M$2:$M$51,1)-1)/(COUNT($M$2:$M$51)-1)*100</x:f>
        <x:v>75.51020408163265</x:v>
      </x:c>
      <x:c r="V45" s="104" t="n">
        <x:f>(RANK.EQ(N45,$N$2:$N$51,0)-1)/(COUNT($N$2:$N$51)-1)*100</x:f>
        <x:v>57.14285714285714</x:v>
      </x:c>
      <x:c r="W45" s="104" t="n">
        <x:f>(RANK.EQ(O45,$O$2:$O$51,1)-1)/(COUNT($O$2:$O$51)-1)*100</x:f>
        <x:v>81.63265306122449</x:v>
      </x:c>
      <x:c r="X45" s="110" t="n">
        <x:f>COUNT(Raw_Data!B45:L45)/11</x:f>
        <x:v>1</x:v>
      </x:c>
    </x:row>
    <x:row r="46">
      <x:c r="A46" s="102" t="n">
        <x:f>RANK.EQ(C46,$C$2:$C$51,0)</x:f>
        <x:v>45</x:v>
      </x:c>
      <x:c r="B46" s="100" t="str">
        <x:v>หนองแขม</x:v>
      </x:c>
      <x:c r="C46" s="104" t="n">
        <x:f>(D46*Weights_Method!$B$5+(100-E46)*Weights_Method!$B$6)/SUM(Weights_Method!$B$5:$B$6)</x:f>
        <x:v>35.96938775510204</x:v>
      </x:c>
      <x:c r="D46" s="104" t="n">
        <x:f>(P46*Weights_Method!$B$10+Q46*Weights_Method!$B$11+R46*Weights_Method!$B$12+S46*Weights_Method!$B$13)/SUM(Weights_Method!$B$10:$B$13)</x:f>
        <x:v>34.69387755102041</x:v>
      </x:c>
      <x:c r="E46" s="104" t="n">
        <x:f>(T46*Weights_Method!$B$17+U46*Weights_Method!$B$18+V46*Weights_Method!$B$19+W46*Weights_Method!$B$20)/SUM(Weights_Method!$B$17:$B$20)</x:f>
        <x:v>62.755102040816325</x:v>
      </x:c>
      <x:c r="F46" s="100" t="str">
        <x:f>IF(C46&gt;=Weights_Method!$E$5,Weights_Method!$D$5,IF(C46&gt;=Weights_Method!$E$6,Weights_Method!$D$6,IF(C46&gt;=Weights_Method!$E$7,Weights_Method!$D$7,IF(C46&gt;=Weights_Method!$E$8,Weights_Method!$D$8,Weights_Method!$D$9))))</x:f>
        <x:v>ต่ำ</x:v>
      </x:c>
      <x:c r="G46" s="106" t="n">
        <x:f>Raw_Data!J46/Raw_Data!C46*1000</x:f>
        <x:v>5.538619419878664</x:v>
      </x:c>
      <x:c r="H46" s="106" t="n">
        <x:f>Raw_Data!K46/Raw_Data!C46</x:f>
        <x:v>13629.078506534666</x:v>
      </x:c>
      <x:c r="I46" s="106" t="n">
        <x:f>MIN(H46,Weights_Method!$B$23)</x:f>
        <x:v>13629.078506534666</x:v>
      </x:c>
      <x:c r="J46" s="108" t="n">
        <x:f>Raw_Data!L46</x:f>
        <x:v>0.8079103411067079</x:v>
      </x:c>
      <x:c r="K46" s="106" t="n">
        <x:f>Raw_Data!C46/Raw_Data!D46</x:f>
        <x:v>1849.6022330774597</x:v>
      </x:c>
      <x:c r="L46" s="106" t="n">
        <x:f>Raw_Data!F46/Raw_Data!E46*100</x:f>
        <x:v>2.8169014084507045</x:v>
      </x:c>
      <x:c r="M46" s="106" t="n">
        <x:f>Raw_Data!B46/Raw_Data!C46</x:f>
        <x:v>2.3385349068847905</x:v>
      </x:c>
      <x:c r="N46" s="106" t="n">
        <x:f>Raw_Data!H46/Raw_Data!B46</x:f>
        <x:v>0.0741500813134051</x:v>
      </x:c>
      <x:c r="O46" s="106" t="n">
        <x:f>Raw_Data!I46/Raw_Data!C46*10000</x:f>
        <x:v>12.526033020434035</x:v>
      </x:c>
      <x:c r="P46" s="104" t="n">
        <x:f>(RANK.EQ(G46,$G$2:$G$51,1)-1)/(COUNT($G$2:$G$51)-1)*100</x:f>
        <x:v>26.53061224489796</x:v>
      </x:c>
      <x:c r="Q46" s="104" t="n">
        <x:f>(RANK.EQ(I46,$I$2:$I$51,1)-1)/(COUNT($I$2:$I$51)-1)*100</x:f>
        <x:v>32.6530612244898</x:v>
      </x:c>
      <x:c r="R46" s="104" t="n">
        <x:f>(RANK.EQ(J46,$J$2:$J$51,1)-1)/(COUNT($J$2:$J$51)-1)*100</x:f>
        <x:v>61.224489795918366</x:v>
      </x:c>
      <x:c r="S46" s="104" t="n">
        <x:f>(RANK.EQ(K46,$K$2:$K$51,1)-1)/(COUNT($K$2:$K$51)-1)*100</x:f>
        <x:v>18.367346938775512</x:v>
      </x:c>
      <x:c r="T46" s="104" t="n">
        <x:f>(RANK.EQ(L46,$L$2:$L$51,1)-1)/(COUNT($L$2:$L$51)-1)*100</x:f>
        <x:v>12.244897959183673</x:v>
      </x:c>
      <x:c r="U46" s="104" t="n">
        <x:f>(RANK.EQ(M46,$M$2:$M$51,1)-1)/(COUNT($M$2:$M$51)-1)*100</x:f>
        <x:v>97.95918367346938</x:v>
      </x:c>
      <x:c r="V46" s="104" t="n">
        <x:f>(RANK.EQ(N46,$N$2:$N$51,0)-1)/(COUNT($N$2:$N$51)-1)*100</x:f>
        <x:v>71.42857142857143</x:v>
      </x:c>
      <x:c r="W46" s="104" t="n">
        <x:f>(RANK.EQ(O46,$O$2:$O$51,1)-1)/(COUNT($O$2:$O$51)-1)*100</x:f>
        <x:v>69.38775510204081</x:v>
      </x:c>
      <x:c r="X46" s="110" t="n">
        <x:f>COUNT(Raw_Data!B46:L46)/11</x:f>
        <x:v>1</x:v>
      </x:c>
    </x:row>
    <x:row r="47">
      <x:c r="A47" s="102" t="n">
        <x:f>RANK.EQ(C47,$C$2:$C$51,0)</x:f>
        <x:v>46</x:v>
      </x:c>
      <x:c r="B47" s="100" t="str">
        <x:v>ราษฎร์บูรณะ</x:v>
      </x:c>
      <x:c r="C47" s="104" t="n">
        <x:f>(D47*Weights_Method!$B$5+(100-E47)*Weights_Method!$B$6)/SUM(Weights_Method!$B$5:$B$6)</x:f>
        <x:v>35.71428571428571</x:v>
      </x:c>
      <x:c r="D47" s="104" t="n">
        <x:f>(P47*Weights_Method!$B$10+Q47*Weights_Method!$B$11+R47*Weights_Method!$B$12+S47*Weights_Method!$B$13)/SUM(Weights_Method!$B$10:$B$13)</x:f>
        <x:v>38.775510204081634</x:v>
      </x:c>
      <x:c r="E47" s="104" t="n">
        <x:f>(T47*Weights_Method!$B$17+U47*Weights_Method!$B$18+V47*Weights_Method!$B$19+W47*Weights_Method!$B$20)/SUM(Weights_Method!$B$17:$B$20)</x:f>
        <x:v>67.34693877551021</x:v>
      </x:c>
      <x:c r="F47" s="100" t="str">
        <x:f>IF(C47&gt;=Weights_Method!$E$5,Weights_Method!$D$5,IF(C47&gt;=Weights_Method!$E$6,Weights_Method!$D$6,IF(C47&gt;=Weights_Method!$E$7,Weights_Method!$D$7,IF(C47&gt;=Weights_Method!$E$8,Weights_Method!$D$8,Weights_Method!$D$9))))</x:f>
        <x:v>ต่ำ</x:v>
      </x:c>
      <x:c r="G47" s="106" t="n">
        <x:f>Raw_Data!J47/Raw_Data!C47*1000</x:f>
        <x:v>4.82265884154121</x:v>
      </x:c>
      <x:c r="H47" s="106" t="n">
        <x:f>Raw_Data!K47/Raw_Data!C47</x:f>
        <x:v>10103.623373309518</x:v>
      </x:c>
      <x:c r="I47" s="106" t="n">
        <x:f>MIN(H47,Weights_Method!$B$23)</x:f>
        <x:v>10103.623373309518</x:v>
      </x:c>
      <x:c r="J47" s="108" t="n">
        <x:f>Raw_Data!L47</x:f>
        <x:v>0.8339237942548069</x:v>
      </x:c>
      <x:c r="K47" s="106" t="n">
        <x:f>Raw_Data!C47/Raw_Data!D47</x:f>
        <x:v>2483.208718793562</x:v>
      </x:c>
      <x:c r="L47" s="106" t="n">
        <x:f>Raw_Data!F47/Raw_Data!E47*100</x:f>
        <x:v>92.85714285714286</x:v>
      </x:c>
      <x:c r="M47" s="106" t="n">
        <x:f>Raw_Data!B47/Raw_Data!C47</x:f>
        <x:v>1.9031385557540188</x:v>
      </x:c>
      <x:c r="N47" s="106" t="n">
        <x:f>Raw_Data!H47/Raw_Data!B47</x:f>
        <x:v>0.14251045800707926</x:v>
      </x:c>
      <x:c r="O47" s="106" t="n">
        <x:f>Raw_Data!I47/Raw_Data!C47*10000</x:f>
        <x:v>10.206685378923193</x:v>
      </x:c>
      <x:c r="P47" s="104" t="n">
        <x:f>(RANK.EQ(G47,$G$2:$G$51,1)-1)/(COUNT($G$2:$G$51)-1)*100</x:f>
        <x:v>14.285714285714285</x:v>
      </x:c>
      <x:c r="Q47" s="104" t="n">
        <x:f>(RANK.EQ(I47,$I$2:$I$51,1)-1)/(COUNT($I$2:$I$51)-1)*100</x:f>
        <x:v>20.408163265306122</x:v>
      </x:c>
      <x:c r="R47" s="104" t="n">
        <x:f>(RANK.EQ(J47,$J$2:$J$51,1)-1)/(COUNT($J$2:$J$51)-1)*100</x:f>
        <x:v>89.79591836734694</x:v>
      </x:c>
      <x:c r="S47" s="104" t="n">
        <x:f>(RANK.EQ(K47,$K$2:$K$51,1)-1)/(COUNT($K$2:$K$51)-1)*100</x:f>
        <x:v>30.612244897959183</x:v>
      </x:c>
      <x:c r="T47" s="104" t="n">
        <x:f>(RANK.EQ(L47,$L$2:$L$51,1)-1)/(COUNT($L$2:$L$51)-1)*100</x:f>
        <x:v>91.83673469387756</x:v>
      </x:c>
      <x:c r="U47" s="104" t="n">
        <x:f>(RANK.EQ(M47,$M$2:$M$51,1)-1)/(COUNT($M$2:$M$51)-1)*100</x:f>
        <x:v>71.42857142857143</x:v>
      </x:c>
      <x:c r="V47" s="104" t="n">
        <x:f>(RANK.EQ(N47,$N$2:$N$51,0)-1)/(COUNT($N$2:$N$51)-1)*100</x:f>
        <x:v>61.224489795918366</x:v>
      </x:c>
      <x:c r="W47" s="104" t="n">
        <x:f>(RANK.EQ(O47,$O$2:$O$51,1)-1)/(COUNT($O$2:$O$51)-1)*100</x:f>
        <x:v>44.89795918367347</x:v>
      </x:c>
      <x:c r="X47" s="110" t="n">
        <x:f>COUNT(Raw_Data!B47:L47)/11</x:f>
        <x:v>1</x:v>
      </x:c>
    </x:row>
    <x:row r="48">
      <x:c r="A48" s="102" t="n">
        <x:f>RANK.EQ(C48,$C$2:$C$51,0)</x:f>
        <x:v>47</x:v>
      </x:c>
      <x:c r="B48" s="100" t="str">
        <x:v>จอมทอง</x:v>
      </x:c>
      <x:c r="C48" s="104" t="n">
        <x:f>(D48*Weights_Method!$B$5+(100-E48)*Weights_Method!$B$6)/SUM(Weights_Method!$B$5:$B$6)</x:f>
        <x:v>33.6734693877551</x:v>
      </x:c>
      <x:c r="D48" s="104" t="n">
        <x:f>(P48*Weights_Method!$B$10+Q48*Weights_Method!$B$11+R48*Weights_Method!$B$12+S48*Weights_Method!$B$13)/SUM(Weights_Method!$B$10:$B$13)</x:f>
        <x:v>26.020408163265305</x:v>
      </x:c>
      <x:c r="E48" s="104" t="n">
        <x:f>(T48*Weights_Method!$B$17+U48*Weights_Method!$B$18+V48*Weights_Method!$B$19+W48*Weights_Method!$B$20)/SUM(Weights_Method!$B$17:$B$20)</x:f>
        <x:v>58.673469387755105</x:v>
      </x:c>
      <x:c r="F48" s="100" t="str">
        <x:f>IF(C48&gt;=Weights_Method!$E$5,Weights_Method!$D$5,IF(C48&gt;=Weights_Method!$E$6,Weights_Method!$D$6,IF(C48&gt;=Weights_Method!$E$7,Weights_Method!$D$7,IF(C48&gt;=Weights_Method!$E$8,Weights_Method!$D$8,Weights_Method!$D$9))))</x:f>
        <x:v>ต่ำ</x:v>
      </x:c>
      <x:c r="G48" s="106" t="n">
        <x:f>Raw_Data!J48/Raw_Data!C48*1000</x:f>
        <x:v>5.415912594677928</x:v>
      </x:c>
      <x:c r="H48" s="106" t="n">
        <x:f>Raw_Data!K48/Raw_Data!C48</x:f>
        <x:v>12191.366713586702</x:v>
      </x:c>
      <x:c r="I48" s="106" t="n">
        <x:f>MIN(H48,Weights_Method!$B$23)</x:f>
        <x:v>12191.366713586702</x:v>
      </x:c>
      <x:c r="J48" s="108" t="n">
        <x:f>Raw_Data!L48</x:f>
        <x:v>0.7646113031517991</x:v>
      </x:c>
      <x:c r="K48" s="106" t="n">
        <x:f>Raw_Data!C48/Raw_Data!D48</x:f>
        <x:v>2840.0913763563676</x:v>
      </x:c>
      <x:c r="L48" s="106" t="n">
        <x:f>Raw_Data!F48/Raw_Data!E48*100</x:f>
        <x:v>6.25</x:v>
      </x:c>
      <x:c r="M48" s="106" t="n">
        <x:f>Raw_Data!B48/Raw_Data!C48</x:f>
        <x:v>1.8957302768282056</x:v>
      </x:c>
      <x:c r="N48" s="106" t="n">
        <x:f>Raw_Data!H48/Raw_Data!B48</x:f>
        <x:v>0.013775351455322037</x:v>
      </x:c>
      <x:c r="O48" s="106" t="n">
        <x:f>Raw_Data!I48/Raw_Data!C48*10000</x:f>
        <x:v>10.590522152959315</x:v>
      </x:c>
      <x:c r="P48" s="104" t="n">
        <x:f>(RANK.EQ(G48,$G$2:$G$51,1)-1)/(COUNT($G$2:$G$51)-1)*100</x:f>
        <x:v>24.489795918367346</x:v>
      </x:c>
      <x:c r="Q48" s="104" t="n">
        <x:f>(RANK.EQ(I48,$I$2:$I$51,1)-1)/(COUNT($I$2:$I$51)-1)*100</x:f>
        <x:v>24.489795918367346</x:v>
      </x:c>
      <x:c r="R48" s="104" t="n">
        <x:f>(RANK.EQ(J48,$J$2:$J$51,1)-1)/(COUNT($J$2:$J$51)-1)*100</x:f>
        <x:v>14.285714285714285</x:v>
      </x:c>
      <x:c r="S48" s="104" t="n">
        <x:f>(RANK.EQ(K48,$K$2:$K$51,1)-1)/(COUNT($K$2:$K$51)-1)*100</x:f>
        <x:v>40.816326530612244</x:v>
      </x:c>
      <x:c r="T48" s="104" t="n">
        <x:f>(RANK.EQ(L48,$L$2:$L$51,1)-1)/(COUNT($L$2:$L$51)-1)*100</x:f>
        <x:v>22.448979591836736</x:v>
      </x:c>
      <x:c r="U48" s="104" t="n">
        <x:f>(RANK.EQ(M48,$M$2:$M$51,1)-1)/(COUNT($M$2:$M$51)-1)*100</x:f>
        <x:v>69.38775510204081</x:v>
      </x:c>
      <x:c r="V48" s="104" t="n">
        <x:f>(RANK.EQ(N48,$N$2:$N$51,0)-1)/(COUNT($N$2:$N$51)-1)*100</x:f>
        <x:v>93.87755102040816</x:v>
      </x:c>
      <x:c r="W48" s="104" t="n">
        <x:f>(RANK.EQ(O48,$O$2:$O$51,1)-1)/(COUNT($O$2:$O$51)-1)*100</x:f>
        <x:v>48.97959183673469</x:v>
      </x:c>
      <x:c r="X48" s="110" t="n">
        <x:f>COUNT(Raw_Data!B48:L48)/11</x:f>
        <x:v>1</x:v>
      </x:c>
    </x:row>
    <x:row r="49">
      <x:c r="A49" s="102" t="n">
        <x:f>RANK.EQ(C49,$C$2:$C$51,0)</x:f>
        <x:v>48</x:v>
      </x:c>
      <x:c r="B49" s="100" t="str">
        <x:v>ดุสิต</x:v>
      </x:c>
      <x:c r="C49" s="104" t="n">
        <x:f>(D49*Weights_Method!$B$5+(100-E49)*Weights_Method!$B$6)/SUM(Weights_Method!$B$5:$B$6)</x:f>
        <x:v>33.163265306122454</x:v>
      </x:c>
      <x:c r="D49" s="104" t="n">
        <x:f>(P49*Weights_Method!$B$10+Q49*Weights_Method!$B$11+R49*Weights_Method!$B$12+S49*Weights_Method!$B$13)/SUM(Weights_Method!$B$10:$B$13)</x:f>
        <x:v>39.795918367346935</x:v>
      </x:c>
      <x:c r="E49" s="104" t="n">
        <x:f>(T49*Weights_Method!$B$17+U49*Weights_Method!$B$18+V49*Weights_Method!$B$19+W49*Weights_Method!$B$20)/SUM(Weights_Method!$B$17:$B$20)</x:f>
        <x:v>73.46938775510203</x:v>
      </x:c>
      <x:c r="F49" s="100" t="str">
        <x:f>IF(C49&gt;=Weights_Method!$E$5,Weights_Method!$D$5,IF(C49&gt;=Weights_Method!$E$6,Weights_Method!$D$6,IF(C49&gt;=Weights_Method!$E$7,Weights_Method!$D$7,IF(C49&gt;=Weights_Method!$E$8,Weights_Method!$D$8,Weights_Method!$D$9))))</x:f>
        <x:v>ต่ำ</x:v>
      </x:c>
      <x:c r="G49" s="106" t="n">
        <x:f>Raw_Data!J49/Raw_Data!C49*1000</x:f>
        <x:v>3.07280416197633</x:v>
      </x:c>
      <x:c r="H49" s="106" t="n">
        <x:f>Raw_Data!K49/Raw_Data!C49</x:f>
        <x:v>7237.518634579696</x:v>
      </x:c>
      <x:c r="I49" s="106" t="n">
        <x:f>MIN(H49,Weights_Method!$B$23)</x:f>
        <x:v>7237.518634579696</x:v>
      </x:c>
      <x:c r="J49" s="108" t="n">
        <x:f>Raw_Data!L49</x:f>
        <x:v>0.872796418772894</x:v>
      </x:c>
      <x:c r="K49" s="106" t="n">
        <x:f>Raw_Data!C49/Raw_Data!D49</x:f>
        <x:v>3081.950304735115</x:v>
      </x:c>
      <x:c r="L49" s="106" t="n">
        <x:f>Raw_Data!F49/Raw_Data!E49*100</x:f>
        <x:v>20.930232558139537</x:v>
      </x:c>
      <x:c r="M49" s="106" t="n">
        <x:f>Raw_Data!B49/Raw_Data!C49</x:f>
        <x:v>2.2810855213118746</x:v>
      </x:c>
      <x:c r="N49" s="106" t="n">
        <x:f>Raw_Data!H49/Raw_Data!B49</x:f>
        <x:v>0.021339877562452484</x:v>
      </x:c>
      <x:c r="O49" s="106" t="n">
        <x:f>Raw_Data!I49/Raw_Data!C49*10000</x:f>
        <x:v>11.865283397730384</x:v>
      </x:c>
      <x:c r="P49" s="104" t="n">
        <x:f>(RANK.EQ(G49,$G$2:$G$51,1)-1)/(COUNT($G$2:$G$51)-1)*100</x:f>
        <x:v>4.081632653061225</x:v>
      </x:c>
      <x:c r="Q49" s="104" t="n">
        <x:f>(RANK.EQ(I49,$I$2:$I$51,1)-1)/(COUNT($I$2:$I$51)-1)*100</x:f>
        <x:v>12.244897959183673</x:v>
      </x:c>
      <x:c r="R49" s="104" t="n">
        <x:f>(RANK.EQ(J49,$J$2:$J$51,1)-1)/(COUNT($J$2:$J$51)-1)*100</x:f>
        <x:v>100</x:v>
      </x:c>
      <x:c r="S49" s="104" t="n">
        <x:f>(RANK.EQ(K49,$K$2:$K$51,1)-1)/(COUNT($K$2:$K$51)-1)*100</x:f>
        <x:v>42.857142857142854</x:v>
      </x:c>
      <x:c r="T49" s="104" t="n">
        <x:f>(RANK.EQ(L49,$L$2:$L$51,1)-1)/(COUNT($L$2:$L$51)-1)*100</x:f>
        <x:v>44.89795918367347</x:v>
      </x:c>
      <x:c r="U49" s="104" t="n">
        <x:f>(RANK.EQ(M49,$M$2:$M$51,1)-1)/(COUNT($M$2:$M$51)-1)*100</x:f>
        <x:v>95.91836734693877</x:v>
      </x:c>
      <x:c r="V49" s="104" t="n">
        <x:f>(RANK.EQ(N49,$N$2:$N$51,0)-1)/(COUNT($N$2:$N$51)-1)*100</x:f>
        <x:v>87.75510204081633</x:v>
      </x:c>
      <x:c r="W49" s="104" t="n">
        <x:f>(RANK.EQ(O49,$O$2:$O$51,1)-1)/(COUNT($O$2:$O$51)-1)*100</x:f>
        <x:v>65.3061224489796</x:v>
      </x:c>
      <x:c r="X49" s="110" t="n">
        <x:f>COUNT(Raw_Data!B49:L49)/11</x:f>
        <x:v>1</x:v>
      </x:c>
    </x:row>
    <x:row r="50">
      <x:c r="A50" s="102" t="n">
        <x:f>RANK.EQ(C50,$C$2:$C$51,0)</x:f>
        <x:v>49</x:v>
      </x:c>
      <x:c r="B50" s="100" t="str">
        <x:v>สะพานสูง</x:v>
      </x:c>
      <x:c r="C50" s="104" t="n">
        <x:f>(D50*Weights_Method!$B$5+(100-E50)*Weights_Method!$B$6)/SUM(Weights_Method!$B$5:$B$6)</x:f>
        <x:v>32.908163265306115</x:v>
      </x:c>
      <x:c r="D50" s="104" t="n">
        <x:f>(P50*Weights_Method!$B$10+Q50*Weights_Method!$B$11+R50*Weights_Method!$B$12+S50*Weights_Method!$B$13)/SUM(Weights_Method!$B$10:$B$13)</x:f>
        <x:v>52.04081632653061</x:v>
      </x:c>
      <x:c r="E50" s="104" t="n">
        <x:f>(T50*Weights_Method!$B$17+U50*Weights_Method!$B$18+V50*Weights_Method!$B$19+W50*Weights_Method!$B$20)/SUM(Weights_Method!$B$17:$B$20)</x:f>
        <x:v>86.22448979591837</x:v>
      </x:c>
      <x:c r="F50" s="100" t="str">
        <x:f>IF(C50&gt;=Weights_Method!$E$5,Weights_Method!$D$5,IF(C50&gt;=Weights_Method!$E$6,Weights_Method!$D$6,IF(C50&gt;=Weights_Method!$E$7,Weights_Method!$D$7,IF(C50&gt;=Weights_Method!$E$8,Weights_Method!$D$8,Weights_Method!$D$9))))</x:f>
        <x:v>ต่ำ</x:v>
      </x:c>
      <x:c r="G50" s="106" t="n">
        <x:f>Raw_Data!J50/Raw_Data!C50*1000</x:f>
        <x:v>11.067085667440907</x:v>
      </x:c>
      <x:c r="H50" s="106" t="n">
        <x:f>Raw_Data!K50/Raw_Data!C50</x:f>
        <x:v>22825.18103566061</x:v>
      </x:c>
      <x:c r="I50" s="106" t="n">
        <x:f>MIN(H50,Weights_Method!$B$23)</x:f>
        <x:v>22825.18103566061</x:v>
      </x:c>
      <x:c r="J50" s="108" t="n">
        <x:f>Raw_Data!L50</x:f>
        <x:v>0.7925958816650405</x:v>
      </x:c>
      <x:c r="K50" s="106" t="n">
        <x:f>Raw_Data!C50/Raw_Data!D50</x:f>
        <x:v>1561.4421846110085</x:v>
      </x:c>
      <x:c r="L50" s="106" t="n">
        <x:f>Raw_Data!F50/Raw_Data!E50*100</x:f>
        <x:v>93.10344827586206</x:v>
      </x:c>
      <x:c r="M50" s="106" t="n">
        <x:f>Raw_Data!B50/Raw_Data!C50</x:f>
        <x:v>2.203055973038211</x:v>
      </x:c>
      <x:c r="N50" s="106" t="n">
        <x:f>Raw_Data!H50/Raw_Data!B50</x:f>
        <x:v>0.0771099281616621</x:v>
      </x:c>
      <x:c r="O50" s="106" t="n">
        <x:f>Raw_Data!I50/Raw_Data!C50*10000</x:f>
        <x:v>25.276677141686022</x:v>
      </x:c>
      <x:c r="P50" s="104" t="n">
        <x:f>(RANK.EQ(G50,$G$2:$G$51,1)-1)/(COUNT($G$2:$G$51)-1)*100</x:f>
        <x:v>85.71428571428571</x:v>
      </x:c>
      <x:c r="Q50" s="104" t="n">
        <x:f>(RANK.EQ(I50,$I$2:$I$51,1)-1)/(COUNT($I$2:$I$51)-1)*100</x:f>
        <x:v>61.224489795918366</x:v>
      </x:c>
      <x:c r="R50" s="104" t="n">
        <x:f>(RANK.EQ(J50,$J$2:$J$51,1)-1)/(COUNT($J$2:$J$51)-1)*100</x:f>
        <x:v>44.89795918367347</x:v>
      </x:c>
      <x:c r="S50" s="104" t="n">
        <x:f>(RANK.EQ(K50,$K$2:$K$51,1)-1)/(COUNT($K$2:$K$51)-1)*100</x:f>
        <x:v>16.3265306122449</x:v>
      </x:c>
      <x:c r="T50" s="104" t="n">
        <x:f>(RANK.EQ(L50,$L$2:$L$51,1)-1)/(COUNT($L$2:$L$51)-1)*100</x:f>
        <x:v>95.91836734693877</x:v>
      </x:c>
      <x:c r="U50" s="104" t="n">
        <x:f>(RANK.EQ(M50,$M$2:$M$51,1)-1)/(COUNT($M$2:$M$51)-1)*100</x:f>
        <x:v>89.79591836734694</x:v>
      </x:c>
      <x:c r="V50" s="104" t="n">
        <x:f>(RANK.EQ(N50,$N$2:$N$51,0)-1)/(COUNT($N$2:$N$51)-1)*100</x:f>
        <x:v>69.38775510204081</x:v>
      </x:c>
      <x:c r="W50" s="104" t="n">
        <x:f>(RANK.EQ(O50,$O$2:$O$51,1)-1)/(COUNT($O$2:$O$51)-1)*100</x:f>
        <x:v>89.79591836734694</x:v>
      </x:c>
      <x:c r="X50" s="110" t="n">
        <x:f>COUNT(Raw_Data!B50:L50)/11</x:f>
        <x:v>1</x:v>
      </x:c>
    </x:row>
    <x:row r="51">
      <x:c r="A51" s="102" t="n">
        <x:f>RANK.EQ(C51,$C$2:$C$51,0)</x:f>
        <x:v>50</x:v>
      </x:c>
      <x:c r="B51" s="100" t="str">
        <x:v>หนองจอก</x:v>
      </x:c>
      <x:c r="C51" s="104" t="n">
        <x:f>(D51*Weights_Method!$B$5+(100-E51)*Weights_Method!$B$6)/SUM(Weights_Method!$B$5:$B$6)</x:f>
        <x:v>29.591836734693878</x:v>
      </x:c>
      <x:c r="D51" s="104" t="n">
        <x:f>(P51*Weights_Method!$B$10+Q51*Weights_Method!$B$11+R51*Weights_Method!$B$12+S51*Weights_Method!$B$13)/SUM(Weights_Method!$B$10:$B$13)</x:f>
        <x:v>14.795918367346939</x:v>
      </x:c>
      <x:c r="E51" s="104" t="n">
        <x:f>(T51*Weights_Method!$B$17+U51*Weights_Method!$B$18+V51*Weights_Method!$B$19+W51*Weights_Method!$B$20)/SUM(Weights_Method!$B$17:$B$20)</x:f>
        <x:v>55.61224489795919</x:v>
      </x:c>
      <x:c r="F51" s="100" t="str">
        <x:f>IF(C51&gt;=Weights_Method!$E$5,Weights_Method!$D$5,IF(C51&gt;=Weights_Method!$E$6,Weights_Method!$D$6,IF(C51&gt;=Weights_Method!$E$7,Weights_Method!$D$7,IF(C51&gt;=Weights_Method!$E$8,Weights_Method!$D$8,Weights_Method!$D$9))))</x:f>
        <x:v>ต่ำ</x:v>
      </x:c>
      <x:c r="G51" s="106" t="n">
        <x:f>Raw_Data!J51/Raw_Data!C51*1000</x:f>
        <x:v>4.956977179199401</x:v>
      </x:c>
      <x:c r="H51" s="106" t="n">
        <x:f>Raw_Data!K51/Raw_Data!C51</x:f>
        <x:v>7715.675271230827</x:v>
      </x:c>
      <x:c r="I51" s="106" t="n">
        <x:f>MIN(H51,Weights_Method!$B$23)</x:f>
        <x:v>7715.675271230827</x:v>
      </x:c>
      <x:c r="J51" s="108" t="n">
        <x:f>Raw_Data!L51</x:f>
        <x:v>0.7817052671760124</x:v>
      </x:c>
      <x:c r="K51" s="106" t="n">
        <x:f>Raw_Data!C51/Raw_Data!D51</x:f>
        <x:v>316.7852502105722</x:v>
      </x:c>
      <x:c r="L51" s="106" t="n">
        <x:f>Raw_Data!F51/Raw_Data!E51*100</x:f>
        <x:v>0</x:v>
      </x:c>
      <x:c r="M51" s="106" t="n">
        <x:f>Raw_Data!B51/Raw_Data!C51</x:f>
        <x:v>2.4615333226444336</x:v>
      </x:c>
      <x:c r="N51" s="106" t="n">
        <x:f>Raw_Data!H51/Raw_Data!B51</x:f>
        <x:v>1.269297783760605</x:v>
      </x:c>
      <x:c r="O51" s="106" t="n">
        <x:f>Raw_Data!I51/Raw_Data!C51*10000</x:f>
        <x:v>62.39645128534017</x:v>
      </x:c>
      <x:c r="P51" s="104" t="n">
        <x:f>(RANK.EQ(G51,$G$2:$G$51,1)-1)/(COUNT($G$2:$G$51)-1)*100</x:f>
        <x:v>18.367346938775512</x:v>
      </x:c>
      <x:c r="Q51" s="104" t="n">
        <x:f>(RANK.EQ(I51,$I$2:$I$51,1)-1)/(COUNT($I$2:$I$51)-1)*100</x:f>
        <x:v>14.285714285714285</x:v>
      </x:c>
      <x:c r="R51" s="104" t="n">
        <x:f>(RANK.EQ(J51,$J$2:$J$51,1)-1)/(COUNT($J$2:$J$51)-1)*100</x:f>
        <x:v>26.53061224489796</x:v>
      </x:c>
      <x:c r="S51" s="104" t="n">
        <x:f>(RANK.EQ(K51,$K$2:$K$51,1)-1)/(COUNT($K$2:$K$51)-1)*100</x:f>
        <x:v>0</x:v>
      </x:c>
      <x:c r="T51" s="104" t="n">
        <x:f>(RANK.EQ(L51,$L$2:$L$51,1)-1)/(COUNT($L$2:$L$51)-1)*100</x:f>
        <x:v>0</x:v>
      </x:c>
      <x:c r="U51" s="104" t="n">
        <x:f>(RANK.EQ(M51,$M$2:$M$51,1)-1)/(COUNT($M$2:$M$51)-1)*100</x:f>
        <x:v>100</x:v>
      </x:c>
      <x:c r="V51" s="104" t="n">
        <x:f>(RANK.EQ(N51,$N$2:$N$51,0)-1)/(COUNT($N$2:$N$51)-1)*100</x:f>
        <x:v>22.448979591836736</x:v>
      </x:c>
      <x:c r="W51" s="104" t="n">
        <x:f>(RANK.EQ(O51,$O$2:$O$51,1)-1)/(COUNT($O$2:$O$51)-1)*100</x:f>
        <x:v>100</x:v>
      </x:c>
      <x:c r="X51" s="110" t="n">
        <x:f>COUNT(Raw_Data!B51:L51)/11</x:f>
        <x:v>1</x:v>
      </x:c>
    </x:row>
  </x:sheetData>
  <x:conditionalFormatting sqref="C2:E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P2:S51">
    <x:cfRule type="dataBar" priority="2">
      <x:dataBar>
        <x:cfvo type="min"/>
        <x:cfvo type="max"/>
        <x:color rgb="FF0F6B67"/>
      </x:dataBar>
      <x:extLst>
        <x:ext xmlns:x14="http://schemas.microsoft.com/office/spreadsheetml/2009/9/main" uri="{B025F937-C7B1-47D3-B67F-A62EFF666E3E}">
          <x14:id>{24F5F3EE-F6F0-3395-50D9-F897A70803A3}</x14:id>
        </x:ext>
      </x:extLst>
    </x:cfRule>
  </x:conditionalFormatting>
  <x:conditionalFormatting sqref="T2:W51">
    <x:cfRule type="dataBar" priority="3">
      <x:dataBar>
        <x:cfvo type="min"/>
        <x:cfvo type="max"/>
        <x:color rgb="FFC65911"/>
      </x:dataBar>
      <x:extLst>
        <x:ext xmlns:x14="http://schemas.microsoft.com/office/spreadsheetml/2009/9/main" uri="{B025F937-C7B1-47D3-B67F-A62EFF666E3E}">
          <x14:id>{3D8C4CB2-A13E-9058-1E5A-436A62295910}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bf45b904e5a4ef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4F5F3EE-F6F0-3395-50D9-F897A70803A3}">
            <x14:dataBar gradient="1">
              <x14:cfvo type="min"/>
              <x14:cfvo type="max"/>
              <x14:fillColor rgb="FF0F6B67"/>
            </x14:dataBar>
          </x14:cfRule>
          <xm:sqref>P2:S51</xm:sqref>
        </x14:conditionalFormatting>
        <x14:conditionalFormatting>
          <x14:cfRule type="dataBar" priority="3" id="{3D8C4CB2-A13E-9058-1E5A-436A62295910}">
            <x14:dataBar gradient="1">
              <x14:cfvo type="min"/>
              <x14:cfvo type="max"/>
              <x14:fillColor rgb="FFC65911"/>
            </x14:dataBar>
          </x14:cfRule>
          <xm:sqref>T2:W51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</x:cols>
  <x:sheetData>
    <x:row r="1" ht="32" customHeight="1">
      <x:c r="A1" s="39" t="str">
        <x:v>เขต</x:v>
      </x:c>
      <x:c r="B1" s="39" t="str">
        <x:v>ประชากร (คน)</x:v>
      </x:c>
      <x:c r="C1" s="39" t="str">
        <x:v>บ้าน (หลัง)</x:v>
      </x:c>
      <x:c r="D1" s="39" t="str">
        <x:v>พื้นที่ (ตร.กม.)</x:v>
      </x:c>
      <x:c r="E1" s="39" t="str">
        <x:v>ชุมชนทั้งหมด</x:v>
      </x:c>
      <x:c r="F1" s="39" t="str">
        <x:v>ชุมชนแออัด</x:v>
      </x:c>
      <x:c r="G1" s="39" t="str">
        <x:v>ประชากรในชุมชน</x:v>
      </x:c>
      <x:c r="H1" s="39" t="str">
        <x:v>พื้นที่สีเขียวที่รายงาน (ตร.ม.)</x:v>
      </x:c>
      <x:c r="I1" s="39" t="str">
        <x:v>เหตุสาธารณภัยรวม (ครั้ง)</x:v>
      </x:c>
      <x:c r="J1" s="39" t="str">
        <x:v>นิติบุคคลตั้งใหม่ 2567 (ราย)</x:v>
      </x:c>
      <x:c r="K1" s="39" t="str">
        <x:v>ทุนจดทะเบียนรวม (บาท)</x:v>
      </x:c>
      <x:c r="L1" s="39" t="str">
        <x:v>Business diversity (Shannon normalized)</x:v>
      </x:c>
    </x:row>
    <x:row r="2">
      <x:c r="A2" s="54" t="str">
        <x:v>คลองเตย</x:v>
      </x:c>
      <x:c r="B2" s="72" t="n">
        <x:v>89013</x:v>
      </x:c>
      <x:c r="C2" s="72" t="n">
        <x:v>83803</x:v>
      </x:c>
      <x:c r="D2" s="74" t="n">
        <x:v>12.994</x:v>
      </x:c>
      <x:c r="E2" s="76" t="n">
        <x:v>40</x:v>
      </x:c>
      <x:c r="F2" s="76" t="n">
        <x:v>22</x:v>
      </x:c>
      <x:c r="G2" s="76" t="n">
        <x:v>84780</x:v>
      </x:c>
      <x:c r="H2" s="76" t="n">
        <x:v>821164</x:v>
      </x:c>
      <x:c r="I2" s="76" t="n">
        <x:v>67</x:v>
      </x:c>
      <x:c r="J2" s="76" t="n">
        <x:v>863</x:v>
      </x:c>
      <x:c r="K2" s="76" t="n">
        <x:v>3493237778</x:v>
      </x:c>
      <x:c r="L2" s="74" t="n">
        <x:v>0.7845365291191937</x:v>
      </x:c>
    </x:row>
    <x:row r="3">
      <x:c r="A3" s="54" t="str">
        <x:v>ปทุมวัน</x:v>
      </x:c>
      <x:c r="B3" s="72" t="n">
        <x:v>39345</x:v>
      </x:c>
      <x:c r="C3" s="72" t="n">
        <x:v>32452</x:v>
      </x:c>
      <x:c r="D3" s="74" t="n">
        <x:v>8.369</x:v>
      </x:c>
      <x:c r="E3" s="76" t="n">
        <x:v>17</x:v>
      </x:c>
      <x:c r="F3" s="76" t="n">
        <x:v>12</x:v>
      </x:c>
      <x:c r="G3" s="76" t="n">
        <x:v>24697</x:v>
      </x:c>
      <x:c r="H3" s="76" t="n">
        <x:v>624896</x:v>
      </x:c>
      <x:c r="I3" s="76" t="n">
        <x:v>36</x:v>
      </x:c>
      <x:c r="J3" s="76" t="n">
        <x:v>762</x:v>
      </x:c>
      <x:c r="K3" s="76" t="n">
        <x:v>13113375930</x:v>
      </x:c>
      <x:c r="L3" s="74" t="n">
        <x:v>0.8063436863155423</x:v>
      </x:c>
    </x:row>
    <x:row r="4">
      <x:c r="A4" s="54" t="str">
        <x:v>วัฒนา</x:v>
      </x:c>
      <x:c r="B4" s="72" t="n">
        <x:v>80349</x:v>
      </x:c>
      <x:c r="C4" s="72" t="n">
        <x:v>87305</x:v>
      </x:c>
      <x:c r="D4" s="74" t="n">
        <x:v>12.565</x:v>
      </x:c>
      <x:c r="E4" s="76" t="n">
        <x:v>15</x:v>
      </x:c>
      <x:c r="F4" s="76" t="n">
        <x:v>3</x:v>
      </x:c>
      <x:c r="G4" s="76" t="n">
        <x:v>13800</x:v>
      </x:c>
      <x:c r="H4" s="76" t="n">
        <x:v>3347</x:v>
      </x:c>
      <x:c r="I4" s="76" t="n">
        <x:v>61</x:v>
      </x:c>
      <x:c r="J4" s="76" t="n">
        <x:v>1716</x:v>
      </x:c>
      <x:c r="K4" s="76" t="n">
        <x:v>6930010500</x:v>
      </x:c>
      <x:c r="L4" s="74" t="n">
        <x:v>0.7240175983139074</x:v>
      </x:c>
    </x:row>
    <x:row r="5">
      <x:c r="A5" s="54" t="str">
        <x:v>จตุจักร</x:v>
      </x:c>
      <x:c r="B5" s="72" t="n">
        <x:v>154500</x:v>
      </x:c>
      <x:c r="C5" s="72" t="n">
        <x:v>140621</x:v>
      </x:c>
      <x:c r="D5" s="74" t="n">
        <x:v>32.908</x:v>
      </x:c>
      <x:c r="E5" s="76" t="n">
        <x:v>41</x:v>
      </x:c>
      <x:c r="F5" s="76" t="n">
        <x:v>21</x:v>
      </x:c>
      <x:c r="G5" s="76" t="n">
        <x:v>29075</x:v>
      </x:c>
      <x:c r="H5" s="76" t="n">
        <x:v>1302708</x:v>
      </x:c>
      <x:c r="I5" s="76" t="n">
        <x:v>111</x:v>
      </x:c>
      <x:c r="J5" s="76" t="n">
        <x:v>833</x:v>
      </x:c>
      <x:c r="K5" s="76" t="n">
        <x:v>3007083200</x:v>
      </x:c>
      <x:c r="L5" s="74" t="n">
        <x:v>0.8157454848010148</x:v>
      </x:c>
    </x:row>
    <x:row r="6">
      <x:c r="A6" s="54" t="str">
        <x:v>สาทร</x:v>
      </x:c>
      <x:c r="B6" s="72" t="n">
        <x:v>70320</x:v>
      </x:c>
      <x:c r="C6" s="72" t="n">
        <x:v>45256</x:v>
      </x:c>
      <x:c r="D6" s="74" t="n">
        <x:v>9.326</x:v>
      </x:c>
      <x:c r="E6" s="76" t="n">
        <x:v>24</x:v>
      </x:c>
      <x:c r="F6" s="76" t="n">
        <x:v>8</x:v>
      </x:c>
      <x:c r="G6" s="76" t="n">
        <x:v>32077</x:v>
      </x:c>
      <x:c r="H6" s="76" t="n">
        <x:v>40096</x:v>
      </x:c>
      <x:c r="I6" s="76" t="n">
        <x:v>52</x:v>
      </x:c>
      <x:c r="J6" s="76" t="n">
        <x:v>418</x:v>
      </x:c>
      <x:c r="K6" s="76" t="n">
        <x:v>3132689572</x:v>
      </x:c>
      <x:c r="L6" s="74" t="n">
        <x:v>0.8193724827105905</x:v>
      </x:c>
    </x:row>
    <x:row r="7">
      <x:c r="A7" s="54" t="str">
        <x:v>ห้วยขวาง</x:v>
      </x:c>
      <x:c r="B7" s="72" t="n">
        <x:v>83958</x:v>
      </x:c>
      <x:c r="C7" s="72" t="n">
        <x:v>95001</x:v>
      </x:c>
      <x:c r="D7" s="74" t="n">
        <x:v>15.033</x:v>
      </x:c>
      <x:c r="E7" s="76" t="n">
        <x:v>22</x:v>
      </x:c>
      <x:c r="F7" s="76" t="n">
        <x:v>17</x:v>
      </x:c>
      <x:c r="G7" s="76" t="n">
        <x:v>16569</x:v>
      </x:c>
      <x:c r="H7" s="76" t="n">
        <x:v>1049</x:v>
      </x:c>
      <x:c r="I7" s="76" t="n">
        <x:v>89</x:v>
      </x:c>
      <x:c r="J7" s="76" t="n">
        <x:v>1415</x:v>
      </x:c>
      <x:c r="K7" s="76" t="n">
        <x:v>11922567407</x:v>
      </x:c>
      <x:c r="L7" s="74" t="n">
        <x:v>0.8094248244037505</x:v>
      </x:c>
    </x:row>
    <x:row r="8">
      <x:c r="A8" s="54" t="str">
        <x:v>บางนา</x:v>
      </x:c>
      <x:c r="B8" s="72" t="n">
        <x:v>85001</x:v>
      </x:c>
      <x:c r="C8" s="72" t="n">
        <x:v>78445</x:v>
      </x:c>
      <x:c r="D8" s="74" t="n">
        <x:v>18.789</x:v>
      </x:c>
      <x:c r="E8" s="76" t="n">
        <x:v>31</x:v>
      </x:c>
      <x:c r="F8" s="76" t="n">
        <x:v>5</x:v>
      </x:c>
      <x:c r="G8" s="76" t="n">
        <x:v>41846</x:v>
      </x:c>
      <x:c r="H8" s="76" t="n">
        <x:v>1708</x:v>
      </x:c>
      <x:c r="I8" s="76" t="n">
        <x:v>64</x:v>
      </x:c>
      <x:c r="J8" s="76" t="n">
        <x:v>573</x:v>
      </x:c>
      <x:c r="K8" s="76" t="n">
        <x:v>3632230800</x:v>
      </x:c>
      <x:c r="L8" s="74" t="n">
        <x:v>0.8108173333582834</x:v>
      </x:c>
    </x:row>
    <x:row r="9">
      <x:c r="A9" s="54" t="str">
        <x:v>สวนหลวง</x:v>
      </x:c>
      <x:c r="B9" s="72" t="n">
        <x:v>123405</x:v>
      </x:c>
      <x:c r="C9" s="72" t="n">
        <x:v>85646</x:v>
      </x:c>
      <x:c r="D9" s="74" t="n">
        <x:v>23.678</x:v>
      </x:c>
      <x:c r="E9" s="76" t="n">
        <x:v>45</x:v>
      </x:c>
      <x:c r="F9" s="76" t="n">
        <x:v>2</x:v>
      </x:c>
      <x:c r="G9" s="76" t="n">
        <x:v>46839</x:v>
      </x:c>
      <x:c r="H9" s="76" t="n">
        <x:v>216526</x:v>
      </x:c>
      <x:c r="I9" s="76" t="n">
        <x:v>133</x:v>
      </x:c>
      <x:c r="J9" s="76" t="n">
        <x:v>805</x:v>
      </x:c>
      <x:c r="K9" s="76" t="n">
        <x:v>20917317000</x:v>
      </x:c>
      <x:c r="L9" s="74" t="n">
        <x:v>0.7694089886794045</x:v>
      </x:c>
    </x:row>
    <x:row r="10">
      <x:c r="A10" s="54" t="str">
        <x:v>ยานนาวา</x:v>
      </x:c>
      <x:c r="B10" s="72" t="n">
        <x:v>72833</x:v>
      </x:c>
      <x:c r="C10" s="72" t="n">
        <x:v>54412</x:v>
      </x:c>
      <x:c r="D10" s="74" t="n">
        <x:v>16.662</x:v>
      </x:c>
      <x:c r="E10" s="76" t="n">
        <x:v>17</x:v>
      </x:c>
      <x:c r="F10" s="76" t="n">
        <x:v>12</x:v>
      </x:c>
      <x:c r="G10" s="76" t="n">
        <x:v>13820</x:v>
      </x:c>
      <x:c r="H10" s="76" t="n">
        <x:v>12596</x:v>
      </x:c>
      <x:c r="I10" s="76" t="n">
        <x:v>39</x:v>
      </x:c>
      <x:c r="J10" s="76" t="n">
        <x:v>399</x:v>
      </x:c>
      <x:c r="K10" s="76" t="n">
        <x:v>3250936040</x:v>
      </x:c>
      <x:c r="L10" s="74" t="n">
        <x:v>0.803382093811143</x:v>
      </x:c>
    </x:row>
    <x:row r="11">
      <x:c r="A11" s="54" t="str">
        <x:v>พญาไท</x:v>
      </x:c>
      <x:c r="B11" s="72" t="n">
        <x:v>62632</x:v>
      </x:c>
      <x:c r="C11" s="72" t="n">
        <x:v>46536</x:v>
      </x:c>
      <x:c r="D11" s="74" t="n">
        <x:v>9.595</x:v>
      </x:c>
      <x:c r="E11" s="76" t="n">
        <x:v>22</x:v>
      </x:c>
      <x:c r="F11" s="76" t="n">
        <x:v>7</x:v>
      </x:c>
      <x:c r="G11" s="76" t="n">
        <x:v>19007</x:v>
      </x:c>
      <x:c r="H11" s="76" t="n">
        <x:v>5138</x:v>
      </x:c>
      <x:c r="I11" s="76" t="n">
        <x:v>44</x:v>
      </x:c>
      <x:c r="J11" s="76" t="n">
        <x:v>349</x:v>
      </x:c>
      <x:c r="K11" s="76" t="n">
        <x:v>1805898000</x:v>
      </x:c>
      <x:c r="L11" s="74" t="n">
        <x:v>0.8067166729847708</x:v>
      </x:c>
    </x:row>
    <x:row r="12">
      <x:c r="A12" s="54" t="str">
        <x:v>ป้อมปราบศัตรูพ่าย</x:v>
      </x:c>
      <x:c r="B12" s="72" t="n">
        <x:v>36905</x:v>
      </x:c>
      <x:c r="C12" s="72" t="n">
        <x:v>19623</x:v>
      </x:c>
      <x:c r="D12" s="74" t="n">
        <x:v>1.931</x:v>
      </x:c>
      <x:c r="E12" s="76" t="n">
        <x:v>14</x:v>
      </x:c>
      <x:c r="F12" s="76" t="n">
        <x:v>0</x:v>
      </x:c>
      <x:c r="G12" s="76" t="n">
        <x:v>4342</x:v>
      </x:c>
      <x:c r="H12" s="76" t="n">
        <x:v>6556</x:v>
      </x:c>
      <x:c r="I12" s="76" t="n">
        <x:v>23</x:v>
      </x:c>
      <x:c r="J12" s="76" t="n">
        <x:v>106</x:v>
      </x:c>
      <x:c r="K12" s="76" t="n">
        <x:v>497190000</x:v>
      </x:c>
      <x:c r="L12" s="74" t="n">
        <x:v>0.8155504367579659</x:v>
      </x:c>
    </x:row>
    <x:row r="13">
      <x:c r="A13" s="54" t="str">
        <x:v>บึงกุ่ม</x:v>
      </x:c>
      <x:c r="B13" s="72" t="n">
        <x:v>136108</x:v>
      </x:c>
      <x:c r="C13" s="72" t="n">
        <x:v>77441</x:v>
      </x:c>
      <x:c r="D13" s="74" t="n">
        <x:v>24.311</x:v>
      </x:c>
      <x:c r="E13" s="76" t="n">
        <x:v>37</x:v>
      </x:c>
      <x:c r="F13" s="76" t="n">
        <x:v>15</x:v>
      </x:c>
      <x:c r="G13" s="76" t="n">
        <x:v>34245</x:v>
      </x:c>
      <x:c r="H13" s="76" t="n">
        <x:v>464476</x:v>
      </x:c>
      <x:c r="I13" s="76" t="n">
        <x:v>86</x:v>
      </x:c>
      <x:c r="J13" s="76" t="n">
        <x:v>796</x:v>
      </x:c>
      <x:c r="K13" s="76" t="n">
        <x:v>2026252400</x:v>
      </x:c>
      <x:c r="L13" s="74" t="n">
        <x:v>0.8013774464238671</x:v>
      </x:c>
    </x:row>
    <x:row r="14">
      <x:c r="A14" s="54" t="str">
        <x:v>ลาดพร้าว</x:v>
      </x:c>
      <x:c r="B14" s="72" t="n">
        <x:v>112086</x:v>
      </x:c>
      <x:c r="C14" s="72" t="n">
        <x:v>60732</x:v>
      </x:c>
      <x:c r="D14" s="74" t="n">
        <x:v>22.157</x:v>
      </x:c>
      <x:c r="E14" s="76" t="n">
        <x:v>36</x:v>
      </x:c>
      <x:c r="F14" s="76" t="n">
        <x:v>4</x:v>
      </x:c>
      <x:c r="G14" s="76" t="n">
        <x:v>33525</x:v>
      </x:c>
      <x:c r="H14" s="76" t="n">
        <x:v>52744</x:v>
      </x:c>
      <x:c r="I14" s="76" t="n">
        <x:v>54</x:v>
      </x:c>
      <x:c r="J14" s="76" t="n">
        <x:v>747</x:v>
      </x:c>
      <x:c r="K14" s="76" t="n">
        <x:v>1661514990</x:v>
      </x:c>
      <x:c r="L14" s="74" t="n">
        <x:v>0.7720781023152504</x:v>
      </x:c>
    </x:row>
    <x:row r="15">
      <x:c r="A15" s="54" t="str">
        <x:v>บางรัก</x:v>
      </x:c>
      <x:c r="B15" s="72" t="n">
        <x:v>41701</x:v>
      </x:c>
      <x:c r="C15" s="72" t="n">
        <x:v>36025</x:v>
      </x:c>
      <x:c r="D15" s="74" t="n">
        <x:v>5.536</x:v>
      </x:c>
      <x:c r="E15" s="76" t="n">
        <x:v>14</x:v>
      </x:c>
      <x:c r="F15" s="76" t="n">
        <x:v>10</x:v>
      </x:c>
      <x:c r="G15" s="76" t="n">
        <x:v>8332</x:v>
      </x:c>
      <x:c r="H15" s="76" t="n">
        <x:v>400</x:v>
      </x:c>
      <x:c r="I15" s="76" t="n">
        <x:v>35</x:v>
      </x:c>
      <x:c r="J15" s="76" t="n">
        <x:v>935</x:v>
      </x:c>
      <x:c r="K15" s="76" t="n">
        <x:v>8259567100</x:v>
      </x:c>
      <x:c r="L15" s="74" t="n">
        <x:v>0.738511884190855</x:v>
      </x:c>
    </x:row>
    <x:row r="16">
      <x:c r="A16" s="54" t="str">
        <x:v>ราชเทวี</x:v>
      </x:c>
      <x:c r="B16" s="72" t="n">
        <x:v>63025</x:v>
      </x:c>
      <x:c r="C16" s="72" t="n">
        <x:v>58075</x:v>
      </x:c>
      <x:c r="D16" s="74" t="n">
        <x:v>7.126</x:v>
      </x:c>
      <x:c r="E16" s="76" t="n">
        <x:v>25</x:v>
      </x:c>
      <x:c r="F16" s="76" t="n">
        <x:v>18</x:v>
      </x:c>
      <x:c r="G16" s="76" t="n">
        <x:v>22866</x:v>
      </x:c>
      <x:c r="H16" s="76" t="n">
        <x:v>33348</x:v>
      </x:c>
      <x:c r="I16" s="76" t="n">
        <x:v>69</x:v>
      </x:c>
      <x:c r="J16" s="76" t="n">
        <x:v>378</x:v>
      </x:c>
      <x:c r="K16" s="76" t="n">
        <x:v>948927300</x:v>
      </x:c>
      <x:c r="L16" s="74" t="n">
        <x:v>0.8105310846696945</x:v>
      </x:c>
    </x:row>
    <x:row r="17">
      <x:c r="A17" s="54" t="str">
        <x:v>บางกะปิ</x:v>
      </x:c>
      <x:c r="B17" s="72" t="n">
        <x:v>140752</x:v>
      </x:c>
      <x:c r="C17" s="72" t="n">
        <x:v>117821</x:v>
      </x:c>
      <x:c r="D17" s="74" t="n">
        <x:v>28.523</x:v>
      </x:c>
      <x:c r="E17" s="76" t="n">
        <x:v>27</x:v>
      </x:c>
      <x:c r="F17" s="76" t="n">
        <x:v>8</x:v>
      </x:c>
      <x:c r="G17" s="76" t="n">
        <x:v>28207</x:v>
      </x:c>
      <x:c r="H17" s="76" t="n">
        <x:v>22740</x:v>
      </x:c>
      <x:c r="I17" s="76" t="n">
        <x:v>112</x:v>
      </x:c>
      <x:c r="J17" s="76" t="n">
        <x:v>886</x:v>
      </x:c>
      <x:c r="K17" s="76" t="n">
        <x:v>2457284895</x:v>
      </x:c>
      <x:c r="L17" s="74" t="n">
        <x:v>0.7842713441160644</x:v>
      </x:c>
    </x:row>
    <x:row r="18">
      <x:c r="A18" s="54" t="str">
        <x:v>ดินแดง</x:v>
      </x:c>
      <x:c r="B18" s="72" t="n">
        <x:v>110780</x:v>
      </x:c>
      <x:c r="C18" s="72" t="n">
        <x:v>65046</x:v>
      </x:c>
      <x:c r="D18" s="74" t="n">
        <x:v>8.354</x:v>
      </x:c>
      <x:c r="E18" s="76" t="n">
        <x:v>22</x:v>
      </x:c>
      <x:c r="F18" s="76" t="n">
        <x:v>13</x:v>
      </x:c>
      <x:c r="G18" s="76" t="n">
        <x:v>22958</x:v>
      </x:c>
      <x:c r="H18" s="76" t="n">
        <x:v>44739</x:v>
      </x:c>
      <x:c r="I18" s="76" t="n">
        <x:v>62</x:v>
      </x:c>
      <x:c r="J18" s="76" t="n">
        <x:v>484</x:v>
      </x:c>
      <x:c r="K18" s="76" t="n">
        <x:v>1308691000</x:v>
      </x:c>
      <x:c r="L18" s="74" t="n">
        <x:v>0.7899113547950615</x:v>
      </x:c>
    </x:row>
    <x:row r="19">
      <x:c r="A19" s="54" t="str">
        <x:v>พระโขนง</x:v>
      </x:c>
      <x:c r="B19" s="72" t="n">
        <x:v>85070</x:v>
      </x:c>
      <x:c r="C19" s="72" t="n">
        <x:v>65282</x:v>
      </x:c>
      <x:c r="D19" s="74" t="n">
        <x:v>13.986</x:v>
      </x:c>
      <x:c r="E19" s="76" t="n">
        <x:v>45</x:v>
      </x:c>
      <x:c r="F19" s="76" t="n">
        <x:v>25</x:v>
      </x:c>
      <x:c r="G19" s="76" t="n">
        <x:v>25984</x:v>
      </x:c>
      <x:c r="H19" s="76" t="n">
        <x:v>1236</x:v>
      </x:c>
      <x:c r="I19" s="76" t="n">
        <x:v>54</x:v>
      </x:c>
      <x:c r="J19" s="76" t="n">
        <x:v>412</x:v>
      </x:c>
      <x:c r="K19" s="76" t="n">
        <x:v>844012000</x:v>
      </x:c>
      <x:c r="L19" s="74" t="n">
        <x:v>0.8239830833770037</x:v>
      </x:c>
    </x:row>
    <x:row r="20">
      <x:c r="A20" s="54" t="str">
        <x:v>วังทองหลาง</x:v>
      </x:c>
      <x:c r="B20" s="72" t="n">
        <x:v>103056</x:v>
      </x:c>
      <x:c r="C20" s="72" t="n">
        <x:v>65168</x:v>
      </x:c>
      <x:c r="D20" s="74" t="n">
        <x:v>19.265</x:v>
      </x:c>
      <x:c r="E20" s="76" t="n">
        <x:v>19</x:v>
      </x:c>
      <x:c r="F20" s="76" t="n">
        <x:v>5</x:v>
      </x:c>
      <x:c r="G20" s="76" t="n">
        <x:v>14521</x:v>
      </x:c>
      <x:c r="H20" s="76" t="n">
        <x:v>9160</x:v>
      </x:c>
      <x:c r="I20" s="76" t="n">
        <x:v>83</x:v>
      </x:c>
      <x:c r="J20" s="76" t="n">
        <x:v>768</x:v>
      </x:c>
      <x:c r="K20" s="76" t="n">
        <x:v>1713171999</x:v>
      </x:c>
      <x:c r="L20" s="74" t="n">
        <x:v>0.7914777670315523</x:v>
      </x:c>
    </x:row>
    <x:row r="21">
      <x:c r="A21" s="54" t="str">
        <x:v>บางเขน</x:v>
      </x:c>
      <x:c r="B21" s="72" t="n">
        <x:v>186227</x:v>
      </x:c>
      <x:c r="C21" s="72" t="n">
        <x:v>119489</x:v>
      </x:c>
      <x:c r="D21" s="74" t="n">
        <x:v>42.123</x:v>
      </x:c>
      <x:c r="E21" s="76" t="n">
        <x:v>73</x:v>
      </x:c>
      <x:c r="F21" s="76" t="n">
        <x:v>7</x:v>
      </x:c>
      <x:c r="G21" s="76" t="n">
        <x:v>65895</x:v>
      </x:c>
      <x:c r="H21" s="76" t="n">
        <x:v>168032</x:v>
      </x:c>
      <x:c r="I21" s="76" t="n">
        <x:v>140</x:v>
      </x:c>
      <x:c r="J21" s="76" t="n">
        <x:v>781</x:v>
      </x:c>
      <x:c r="K21" s="76" t="n">
        <x:v>2350521000</x:v>
      </x:c>
      <x:c r="L21" s="74" t="n">
        <x:v>0.789148336464013</x:v>
      </x:c>
    </x:row>
    <x:row r="22">
      <x:c r="A22" s="54" t="str">
        <x:v>ประเวศ</x:v>
      </x:c>
      <x:c r="B22" s="72" t="n">
        <x:v>184355</x:v>
      </x:c>
      <x:c r="C22" s="72" t="n">
        <x:v>97910</x:v>
      </x:c>
      <x:c r="D22" s="74" t="n">
        <x:v>52.49</x:v>
      </x:c>
      <x:c r="E22" s="76" t="n">
        <x:v>45</x:v>
      </x:c>
      <x:c r="F22" s="76" t="n">
        <x:v>3</x:v>
      </x:c>
      <x:c r="G22" s="76" t="n">
        <x:v>49165</x:v>
      </x:c>
      <x:c r="H22" s="76" t="n">
        <x:v>1952358</x:v>
      </x:c>
      <x:c r="I22" s="76" t="n">
        <x:v>266</x:v>
      </x:c>
      <x:c r="J22" s="76" t="n">
        <x:v>1098</x:v>
      </x:c>
      <x:c r="K22" s="76" t="n">
        <x:v>3745265200</x:v>
      </x:c>
      <x:c r="L22" s="74" t="n">
        <x:v>0.7627733134837024</x:v>
      </x:c>
    </x:row>
    <x:row r="23">
      <x:c r="A23" s="54" t="str">
        <x:v>คลองสาน</x:v>
      </x:c>
      <x:c r="B23" s="72" t="n">
        <x:v>63357</x:v>
      </x:c>
      <x:c r="C23" s="72" t="n">
        <x:v>42956</x:v>
      </x:c>
      <x:c r="D23" s="74" t="n">
        <x:v>6.051</x:v>
      </x:c>
      <x:c r="E23" s="76" t="n">
        <x:v>33</x:v>
      </x:c>
      <x:c r="F23" s="76" t="n">
        <x:v>28</x:v>
      </x:c>
      <x:c r="G23" s="76" t="n">
        <x:v>32888</x:v>
      </x:c>
      <x:c r="H23" s="76" t="n">
        <x:v>4288</x:v>
      </x:c>
      <x:c r="I23" s="76" t="n">
        <x:v>39</x:v>
      </x:c>
      <x:c r="J23" s="76" t="n">
        <x:v>209</x:v>
      </x:c>
      <x:c r="K23" s="76" t="n">
        <x:v>598820000</x:v>
      </x:c>
      <x:c r="L23" s="74" t="n">
        <x:v>0.8311625113850885</x:v>
      </x:c>
    </x:row>
    <x:row r="24">
      <x:c r="A24" s="54" t="str">
        <x:v>หลักสี่</x:v>
      </x:c>
      <x:c r="B24" s="72" t="n">
        <x:v>98177</x:v>
      </x:c>
      <x:c r="C24" s="72" t="n">
        <x:v>62353</x:v>
      </x:c>
      <x:c r="D24" s="74" t="n">
        <x:v>22.841</x:v>
      </x:c>
      <x:c r="E24" s="76" t="n">
        <x:v>76</x:v>
      </x:c>
      <x:c r="F24" s="76" t="n">
        <x:v>15</x:v>
      </x:c>
      <x:c r="G24" s="76" t="n">
        <x:v>70986</x:v>
      </x:c>
      <x:c r="H24" s="76" t="n">
        <x:v>2841</x:v>
      </x:c>
      <x:c r="I24" s="76" t="n">
        <x:v>61</x:v>
      </x:c>
      <x:c r="J24" s="76" t="n">
        <x:v>311</x:v>
      </x:c>
      <x:c r="K24" s="76" t="n">
        <x:v>1645750000</x:v>
      </x:c>
      <x:c r="L24" s="74" t="n">
        <x:v>0.8474414641011586</x:v>
      </x:c>
    </x:row>
    <x:row r="25">
      <x:c r="A25" s="54" t="str">
        <x:v>สัมพันธวงศ์</x:v>
      </x:c>
      <x:c r="B25" s="72" t="n">
        <x:v>18845</x:v>
      </x:c>
      <x:c r="C25" s="72" t="n">
        <x:v>13160</x:v>
      </x:c>
      <x:c r="D25" s="74" t="n">
        <x:v>1.416</x:v>
      </x:c>
      <x:c r="E25" s="76" t="n">
        <x:v>16</x:v>
      </x:c>
      <x:c r="F25" s="76" t="n">
        <x:v>14</x:v>
      </x:c>
      <x:c r="G25" s="76" t="n">
        <x:v>13264</x:v>
      </x:c>
      <x:c r="H25" s="76" t="n">
        <x:v>0</x:v>
      </x:c>
      <x:c r="I25" s="76" t="n">
        <x:v>12</x:v>
      </x:c>
      <x:c r="J25" s="76" t="n">
        <x:v>105</x:v>
      </x:c>
      <x:c r="K25" s="76" t="n">
        <x:v>598710000</x:v>
      </x:c>
      <x:c r="L25" s="74" t="n">
        <x:v>0.7569007000424262</x:v>
      </x:c>
    </x:row>
    <x:row r="26">
      <x:c r="A26" s="54" t="str">
        <x:v>บางคอแหลม</x:v>
      </x:c>
      <x:c r="B26" s="72" t="n">
        <x:v>76224</x:v>
      </x:c>
      <x:c r="C26" s="72" t="n">
        <x:v>40867</x:v>
      </x:c>
      <x:c r="D26" s="74" t="n">
        <x:v>10.921</x:v>
      </x:c>
      <x:c r="E26" s="76" t="n">
        <x:v>28</x:v>
      </x:c>
      <x:c r="F26" s="76" t="n">
        <x:v>26</x:v>
      </x:c>
      <x:c r="G26" s="76" t="n">
        <x:v>38148</x:v>
      </x:c>
      <x:c r="H26" s="76" t="n">
        <x:v>53519</x:v>
      </x:c>
      <x:c r="I26" s="76" t="n">
        <x:v>34</x:v>
      </x:c>
      <x:c r="J26" s="76" t="n">
        <x:v>238</x:v>
      </x:c>
      <x:c r="K26" s="76" t="n">
        <x:v>583416000</x:v>
      </x:c>
      <x:c r="L26" s="74" t="n">
        <x:v>0.8293536493056909</x:v>
      </x:c>
    </x:row>
    <x:row r="27">
      <x:c r="A27" s="54" t="str">
        <x:v>บางพลัด</x:v>
      </x:c>
      <x:c r="B27" s="72" t="n">
        <x:v>86571</x:v>
      </x:c>
      <x:c r="C27" s="72" t="n">
        <x:v>60745</x:v>
      </x:c>
      <x:c r="D27" s="74" t="n">
        <x:v>11.333</x:v>
      </x:c>
      <x:c r="E27" s="76" t="n">
        <x:v>48</x:v>
      </x:c>
      <x:c r="F27" s="76" t="n">
        <x:v>41</x:v>
      </x:c>
      <x:c r="G27" s="76" t="n">
        <x:v>42870</x:v>
      </x:c>
      <x:c r="H27" s="76" t="n">
        <x:v>43972</x:v>
      </x:c>
      <x:c r="I27" s="76" t="n">
        <x:v>57</x:v>
      </x:c>
      <x:c r="J27" s="76" t="n">
        <x:v>212</x:v>
      </x:c>
      <x:c r="K27" s="76" t="n">
        <x:v>415140000</x:v>
      </x:c>
      <x:c r="L27" s="74" t="n">
        <x:v>0.8285159180635033</x:v>
      </x:c>
    </x:row>
    <x:row r="28">
      <x:c r="A28" s="54" t="str">
        <x:v>ทวีวัฒนา</x:v>
      </x:c>
      <x:c r="B28" s="72" t="n">
        <x:v>80272</x:v>
      </x:c>
      <x:c r="C28" s="72" t="n">
        <x:v>37042</x:v>
      </x:c>
      <x:c r="D28" s="74" t="n">
        <x:v>50.159</x:v>
      </x:c>
      <x:c r="E28" s="76" t="n">
        <x:v>16</x:v>
      </x:c>
      <x:c r="F28" s="76" t="n">
        <x:v>0</x:v>
      </x:c>
      <x:c r="G28" s="76" t="n">
        <x:v>16600</x:v>
      </x:c>
      <x:c r="H28" s="76" t="n">
        <x:v>441967</x:v>
      </x:c>
      <x:c r="I28" s="76" t="n">
        <x:v>89</x:v>
      </x:c>
      <x:c r="J28" s="76" t="n">
        <x:v>304</x:v>
      </x:c>
      <x:c r="K28" s="76" t="n">
        <x:v>470360000</x:v>
      </x:c>
      <x:c r="L28" s="74" t="n">
        <x:v>0.8220400039684341</x:v>
      </x:c>
    </x:row>
    <x:row r="29">
      <x:c r="A29" s="54" t="str">
        <x:v>บางกอกใหญ่</x:v>
      </x:c>
      <x:c r="B29" s="72" t="n">
        <x:v>59797</x:v>
      </x:c>
      <x:c r="C29" s="72" t="n">
        <x:v>32954</x:v>
      </x:c>
      <x:c r="D29" s="74" t="n">
        <x:v>6.18</x:v>
      </x:c>
      <x:c r="E29" s="76" t="n">
        <x:v>29</x:v>
      </x:c>
      <x:c r="F29" s="76" t="n">
        <x:v>4</x:v>
      </x:c>
      <x:c r="G29" s="76" t="n">
        <x:v>32000</x:v>
      </x:c>
      <x:c r="H29" s="76" t="n">
        <x:v>3636</x:v>
      </x:c>
      <x:c r="I29" s="76" t="n">
        <x:v>24</x:v>
      </x:c>
      <x:c r="J29" s="76" t="n">
        <x:v>92</x:v>
      </x:c>
      <x:c r="K29" s="76" t="n">
        <x:v>134950000</x:v>
      </x:c>
      <x:c r="L29" s="74" t="n">
        <x:v>0.811277521004653</x:v>
      </x:c>
    </x:row>
    <x:row r="30">
      <x:c r="A30" s="54" t="str">
        <x:v>บางซื่อ</x:v>
      </x:c>
      <x:c r="B30" s="72" t="n">
        <x:v>117506</x:v>
      </x:c>
      <x:c r="C30" s="72" t="n">
        <x:v>78559</x:v>
      </x:c>
      <x:c r="D30" s="74" t="n">
        <x:v>11.545</x:v>
      </x:c>
      <x:c r="E30" s="76" t="n">
        <x:v>50</x:v>
      </x:c>
      <x:c r="F30" s="76" t="n">
        <x:v>47</x:v>
      </x:c>
      <x:c r="G30" s="76" t="n">
        <x:v>37670</x:v>
      </x:c>
      <x:c r="H30" s="76" t="n">
        <x:v>15640</x:v>
      </x:c>
      <x:c r="I30" s="76" t="n">
        <x:v>65</x:v>
      </x:c>
      <x:c r="J30" s="76" t="n">
        <x:v>250</x:v>
      </x:c>
      <x:c r="K30" s="76" t="n">
        <x:v>427000000</x:v>
      </x:c>
      <x:c r="L30" s="74" t="n">
        <x:v>0.8583209099744716</x:v>
      </x:c>
    </x:row>
    <x:row r="31">
      <x:c r="A31" s="54" t="str">
        <x:v>ลาดกระบัง</x:v>
      </x:c>
      <x:c r="B31" s="72" t="n">
        <x:v>181253</x:v>
      </x:c>
      <x:c r="C31" s="72" t="n">
        <x:v>108362</x:v>
      </x:c>
      <x:c r="D31" s="74" t="n">
        <x:v>123.859</x:v>
      </x:c>
      <x:c r="E31" s="76" t="n">
        <x:v>66</x:v>
      </x:c>
      <x:c r="F31" s="76" t="n">
        <x:v>1</x:v>
      </x:c>
      <x:c r="G31" s="76" t="n">
        <x:v>82536</x:v>
      </x:c>
      <x:c r="H31" s="76" t="n">
        <x:v>227602</x:v>
      </x:c>
      <x:c r="I31" s="76" t="n">
        <x:v>406</x:v>
      </x:c>
      <x:c r="J31" s="76" t="n">
        <x:v>814</x:v>
      </x:c>
      <x:c r="K31" s="76" t="n">
        <x:v>2062821000</x:v>
      </x:c>
      <x:c r="L31" s="74" t="n">
        <x:v>0.7866692135060435</x:v>
      </x:c>
    </x:row>
    <x:row r="32">
      <x:c r="A32" s="54" t="str">
        <x:v>ธนบุรี</x:v>
      </x:c>
      <x:c r="B32" s="72" t="n">
        <x:v>97169</x:v>
      </x:c>
      <x:c r="C32" s="72" t="n">
        <x:v>65530</x:v>
      </x:c>
      <x:c r="D32" s="74" t="n">
        <x:v>8.551</x:v>
      </x:c>
      <x:c r="E32" s="76" t="n">
        <x:v>42</x:v>
      </x:c>
      <x:c r="F32" s="76" t="n">
        <x:v>42</x:v>
      </x:c>
      <x:c r="G32" s="76" t="n">
        <x:v>45403</x:v>
      </x:c>
      <x:c r="H32" s="76" t="n">
        <x:v>4000</x:v>
      </x:c>
      <x:c r="I32" s="76" t="n">
        <x:v>48</x:v>
      </x:c>
      <x:c r="J32" s="76" t="n">
        <x:v>175</x:v>
      </x:c>
      <x:c r="K32" s="76" t="n">
        <x:v>228800200</x:v>
      </x:c>
      <x:c r="L32" s="74" t="n">
        <x:v>0.8343475985250473</x:v>
      </x:c>
    </x:row>
    <x:row r="33">
      <x:c r="A33" s="54" t="str">
        <x:v>ภาษีเจริญ</x:v>
      </x:c>
      <x:c r="B33" s="72" t="n">
        <x:v>121716</x:v>
      </x:c>
      <x:c r="C33" s="72" t="n">
        <x:v>69711</x:v>
      </x:c>
      <x:c r="D33" s="74" t="n">
        <x:v>17.834</x:v>
      </x:c>
      <x:c r="E33" s="76" t="n">
        <x:v>51</x:v>
      </x:c>
      <x:c r="F33" s="76" t="n">
        <x:v>3</x:v>
      </x:c>
      <x:c r="G33" s="76" t="n">
        <x:v>60038</x:v>
      </x:c>
      <x:c r="H33" s="76" t="n">
        <x:v>5280</x:v>
      </x:c>
      <x:c r="I33" s="76" t="n">
        <x:v>47</x:v>
      </x:c>
      <x:c r="J33" s="76" t="n">
        <x:v>309</x:v>
      </x:c>
      <x:c r="K33" s="76" t="n">
        <x:v>445789888</x:v>
      </x:c>
      <x:c r="L33" s="74" t="n">
        <x:v>0.7772068320824653</x:v>
      </x:c>
    </x:row>
    <x:row r="34">
      <x:c r="A34" s="54" t="str">
        <x:v>บางกอกน้อย</x:v>
      </x:c>
      <x:c r="B34" s="72" t="n">
        <x:v>97659</x:v>
      </x:c>
      <x:c r="C34" s="72" t="n">
        <x:v>55591</x:v>
      </x:c>
      <x:c r="D34" s="74" t="n">
        <x:v>11.944</x:v>
      </x:c>
      <x:c r="E34" s="76" t="n">
        <x:v>36</x:v>
      </x:c>
      <x:c r="F34" s="76" t="n">
        <x:v>30</x:v>
      </x:c>
      <x:c r="G34" s="76" t="n">
        <x:v>101877</x:v>
      </x:c>
      <x:c r="H34" s="76" t="n">
        <x:v>45126</x:v>
      </x:c>
      <x:c r="I34" s="76" t="n">
        <x:v>57</x:v>
      </x:c>
      <x:c r="J34" s="76" t="n">
        <x:v>214</x:v>
      </x:c>
      <x:c r="K34" s="76" t="n">
        <x:v>344650000</x:v>
      </x:c>
      <x:c r="L34" s="74" t="n">
        <x:v>0.8420429991728317</x:v>
      </x:c>
    </x:row>
    <x:row r="35">
      <x:c r="A35" s="54" t="str">
        <x:v>บางบอน</x:v>
      </x:c>
      <x:c r="B35" s="72" t="n">
        <x:v>99168</x:v>
      </x:c>
      <x:c r="C35" s="72" t="n">
        <x:v>53919</x:v>
      </x:c>
      <x:c r="D35" s="74" t="n">
        <x:v>34.745</x:v>
      </x:c>
      <x:c r="E35" s="76" t="n">
        <x:v>12</x:v>
      </x:c>
      <x:c r="F35" s="76" t="n">
        <x:v>2</x:v>
      </x:c>
      <x:c r="G35" s="76" t="n">
        <x:v>6115</x:v>
      </x:c>
      <x:c r="H35" s="76" t="n">
        <x:v>175583</x:v>
      </x:c>
      <x:c r="I35" s="76" t="n">
        <x:v>72</x:v>
      </x:c>
      <x:c r="J35" s="76" t="n">
        <x:v>420</x:v>
      </x:c>
      <x:c r="K35" s="76" t="n">
        <x:v>780815000</x:v>
      </x:c>
      <x:c r="L35" s="74" t="n">
        <x:v>0.7529810825328279</x:v>
      </x:c>
    </x:row>
    <x:row r="36">
      <x:c r="A36" s="54" t="str">
        <x:v>ตลิ่งชัน</x:v>
      </x:c>
      <x:c r="B36" s="72" t="n">
        <x:v>100887</x:v>
      </x:c>
      <x:c r="C36" s="72" t="n">
        <x:v>45173</x:v>
      </x:c>
      <x:c r="D36" s="74" t="n">
        <x:v>29.479</x:v>
      </x:c>
      <x:c r="E36" s="76" t="n">
        <x:v>43</x:v>
      </x:c>
      <x:c r="F36" s="76" t="n">
        <x:v>8</x:v>
      </x:c>
      <x:c r="G36" s="76" t="n">
        <x:v>29734</x:v>
      </x:c>
      <x:c r="H36" s="76" t="n">
        <x:v>55632</x:v>
      </x:c>
      <x:c r="I36" s="76" t="n">
        <x:v>96</x:v>
      </x:c>
      <x:c r="J36" s="76" t="n">
        <x:v>378</x:v>
      </x:c>
      <x:c r="K36" s="76" t="n">
        <x:v>1029749800</x:v>
      </x:c>
      <x:c r="L36" s="74" t="n">
        <x:v>0.8002230579622595</x:v>
      </x:c>
    </x:row>
    <x:row r="37">
      <x:c r="A37" s="54" t="str">
        <x:v>พระนคร</x:v>
      </x:c>
      <x:c r="B37" s="72" t="n">
        <x:v>39399</x:v>
      </x:c>
      <x:c r="C37" s="72" t="n">
        <x:v>19016</x:v>
      </x:c>
      <x:c r="D37" s="74" t="n">
        <x:v>5.536</x:v>
      </x:c>
      <x:c r="E37" s="76" t="n">
        <x:v>19</x:v>
      </x:c>
      <x:c r="F37" s="76" t="n">
        <x:v>16</x:v>
      </x:c>
      <x:c r="G37" s="76" t="n">
        <x:v>19123</x:v>
      </x:c>
      <x:c r="H37" s="76" t="n">
        <x:v>287135</x:v>
      </x:c>
      <x:c r="I37" s="76" t="n">
        <x:v>26</x:v>
      </x:c>
      <x:c r="J37" s="76" t="n">
        <x:v>117</x:v>
      </x:c>
      <x:c r="K37" s="76" t="n">
        <x:v>208900000</x:v>
      </x:c>
      <x:c r="L37" s="74" t="n">
        <x:v>0.8202491931059768</x:v>
      </x:c>
    </x:row>
    <x:row r="38">
      <x:c r="A38" s="54" t="str">
        <x:v>ดอนเมือง</x:v>
      </x:c>
      <x:c r="B38" s="72" t="n">
        <x:v>166047</x:v>
      </x:c>
      <x:c r="C38" s="72" t="n">
        <x:v>83308</x:v>
      </x:c>
      <x:c r="D38" s="74" t="n">
        <x:v>36.803</x:v>
      </x:c>
      <x:c r="E38" s="76" t="n">
        <x:v>95</x:v>
      </x:c>
      <x:c r="F38" s="76" t="n">
        <x:v>17</x:v>
      </x:c>
      <x:c r="G38" s="76" t="n">
        <x:v>80569</x:v>
      </x:c>
      <x:c r="H38" s="76" t="n">
        <x:v>68016</x:v>
      </x:c>
      <x:c r="I38" s="76" t="n">
        <x:v>73</x:v>
      </x:c>
      <x:c r="J38" s="76" t="n">
        <x:v>479</x:v>
      </x:c>
      <x:c r="K38" s="76" t="n">
        <x:v>806655000</x:v>
      </x:c>
      <x:c r="L38" s="74" t="n">
        <x:v>0.796357311091835</x:v>
      </x:c>
    </x:row>
    <x:row r="39">
      <x:c r="A39" s="54" t="str">
        <x:v>บางขุนเทียน</x:v>
      </x:c>
      <x:c r="B39" s="72" t="n">
        <x:v>185595</x:v>
      </x:c>
      <x:c r="C39" s="72" t="n">
        <x:v>95111</x:v>
      </x:c>
      <x:c r="D39" s="74" t="n">
        <x:v>120.687</x:v>
      </x:c>
      <x:c r="E39" s="76" t="n">
        <x:v>51</x:v>
      </x:c>
      <x:c r="F39" s="76" t="n">
        <x:v>11</x:v>
      </x:c>
      <x:c r="G39" s="76" t="n">
        <x:v>44544</x:v>
      </x:c>
      <x:c r="H39" s="76" t="n">
        <x:v>68400</x:v>
      </x:c>
      <x:c r="I39" s="76" t="n">
        <x:v>141</x:v>
      </x:c>
      <x:c r="J39" s="76" t="n">
        <x:v>797</x:v>
      </x:c>
      <x:c r="K39" s="76" t="n">
        <x:v>4930941400</x:v>
      </x:c>
      <x:c r="L39" s="74" t="n">
        <x:v>0.7708888520861185</x:v>
      </x:c>
    </x:row>
    <x:row r="40">
      <x:c r="A40" s="54" t="str">
        <x:v>บางแค</x:v>
      </x:c>
      <x:c r="B40" s="72" t="n">
        <x:v>192481</x:v>
      </x:c>
      <x:c r="C40" s="72" t="n">
        <x:v>97890</x:v>
      </x:c>
      <x:c r="D40" s="74" t="n">
        <x:v>44.456</x:v>
      </x:c>
      <x:c r="E40" s="76" t="n">
        <x:v>48</x:v>
      </x:c>
      <x:c r="F40" s="76" t="n">
        <x:v>23</x:v>
      </x:c>
      <x:c r="G40" s="76" t="n">
        <x:v>38987</x:v>
      </x:c>
      <x:c r="H40" s="76" t="n">
        <x:v>116728</x:v>
      </x:c>
      <x:c r="I40" s="76" t="n">
        <x:v>110</x:v>
      </x:c>
      <x:c r="J40" s="76" t="n">
        <x:v>757</x:v>
      </x:c>
      <x:c r="K40" s="76" t="n">
        <x:v>2356860000</x:v>
      </x:c>
      <x:c r="L40" s="74" t="n">
        <x:v>0.754292003568578</x:v>
      </x:c>
    </x:row>
    <x:row r="41">
      <x:c r="A41" s="54" t="str">
        <x:v>คลองสามวา</x:v>
      </x:c>
      <x:c r="B41" s="72" t="n">
        <x:v>214311</x:v>
      </x:c>
      <x:c r="C41" s="72" t="n">
        <x:v>93955</x:v>
      </x:c>
      <x:c r="D41" s="74" t="n">
        <x:v>110.686</x:v>
      </x:c>
      <x:c r="E41" s="76" t="n">
        <x:v>84</x:v>
      </x:c>
      <x:c r="F41" s="76" t="n">
        <x:v>0</x:v>
      </x:c>
      <x:c r="G41" s="76" t="n">
        <x:v>64063</x:v>
      </x:c>
      <x:c r="H41" s="76" t="n">
        <x:v>344608</x:v>
      </x:c>
      <x:c r="I41" s="76" t="n">
        <x:v>268</x:v>
      </x:c>
      <x:c r="J41" s="76" t="n">
        <x:v>951</x:v>
      </x:c>
      <x:c r="K41" s="76" t="n">
        <x:v>1451395500</x:v>
      </x:c>
      <x:c r="L41" s="74" t="n">
        <x:v>0.7606890468816877</x:v>
      </x:c>
    </x:row>
    <x:row r="42">
      <x:c r="A42" s="54" t="str">
        <x:v>สายไหม</x:v>
      </x:c>
      <x:c r="B42" s="72" t="n">
        <x:v>212575</x:v>
      </x:c>
      <x:c r="C42" s="72" t="n">
        <x:v>112297</x:v>
      </x:c>
      <x:c r="D42" s="74" t="n">
        <x:v>44.615</x:v>
      </x:c>
      <x:c r="E42" s="76" t="n">
        <x:v>79</x:v>
      </x:c>
      <x:c r="F42" s="76" t="n">
        <x:v>4</x:v>
      </x:c>
      <x:c r="G42" s="76" t="n">
        <x:v>84854</x:v>
      </x:c>
      <x:c r="H42" s="76" t="n">
        <x:v>10818</x:v>
      </x:c>
      <x:c r="I42" s="76" t="n">
        <x:v>127</x:v>
      </x:c>
      <x:c r="J42" s="76" t="n">
        <x:v>806</x:v>
      </x:c>
      <x:c r="K42" s="76" t="n">
        <x:v>1518206000</x:v>
      </x:c>
      <x:c r="L42" s="74" t="n">
        <x:v>0.7864018868777995</x:v>
      </x:c>
    </x:row>
    <x:row r="43">
      <x:c r="A43" s="54" t="str">
        <x:v>ทุ่งครุ</x:v>
      </x:c>
      <x:c r="B43" s="72" t="n">
        <x:v>124064</x:v>
      </x:c>
      <x:c r="C43" s="72" t="n">
        <x:v>57688</x:v>
      </x:c>
      <x:c r="D43" s="74" t="n">
        <x:v>30.741</x:v>
      </x:c>
      <x:c r="E43" s="76" t="n">
        <x:v>29</x:v>
      </x:c>
      <x:c r="F43" s="76" t="n">
        <x:v>1</x:v>
      </x:c>
      <x:c r="G43" s="76" t="n">
        <x:v>23593</x:v>
      </x:c>
      <x:c r="H43" s="76" t="n">
        <x:v>104516</x:v>
      </x:c>
      <x:c r="I43" s="76" t="n">
        <x:v>106</x:v>
      </x:c>
      <x:c r="J43" s="76" t="n">
        <x:v>364</x:v>
      </x:c>
      <x:c r="K43" s="76" t="n">
        <x:v>544345000</x:v>
      </x:c>
      <x:c r="L43" s="74" t="n">
        <x:v>0.7977272347678351</x:v>
      </x:c>
    </x:row>
    <x:row r="44">
      <x:c r="A44" s="54" t="str">
        <x:v>มีนบุรี</x:v>
      </x:c>
      <x:c r="B44" s="72" t="n">
        <x:v>139427</x:v>
      </x:c>
      <x:c r="C44" s="72" t="n">
        <x:v>66394</x:v>
      </x:c>
      <x:c r="D44" s="74" t="n">
        <x:v>63.645</x:v>
      </x:c>
      <x:c r="E44" s="76" t="n">
        <x:v>62</x:v>
      </x:c>
      <x:c r="F44" s="76" t="n">
        <x:v>1</x:v>
      </x:c>
      <x:c r="G44" s="76" t="n">
        <x:v>76002</x:v>
      </x:c>
      <x:c r="H44" s="76" t="n">
        <x:v>224590</x:v>
      </x:c>
      <x:c r="I44" s="76" t="n">
        <x:v>222</x:v>
      </x:c>
      <x:c r="J44" s="76" t="n">
        <x:v>458</x:v>
      </x:c>
      <x:c r="K44" s="76" t="n">
        <x:v>914385000</x:v>
      </x:c>
      <x:c r="L44" s="74" t="n">
        <x:v>0.7726904335561694</x:v>
      </x:c>
    </x:row>
    <x:row r="45">
      <x:c r="A45" s="54" t="str">
        <x:v>คันนายาว</x:v>
      </x:c>
      <x:c r="B45" s="72" t="n">
        <x:v>94194</x:v>
      </x:c>
      <x:c r="C45" s="72" t="n">
        <x:v>48118</x:v>
      </x:c>
      <x:c r="D45" s="74" t="n">
        <x:v>25.98</x:v>
      </x:c>
      <x:c r="E45" s="76" t="n">
        <x:v>41</x:v>
      </x:c>
      <x:c r="F45" s="76" t="n">
        <x:v>14</x:v>
      </x:c>
      <x:c r="G45" s="76" t="n">
        <x:v>33086</x:v>
      </x:c>
      <x:c r="H45" s="76" t="n">
        <x:v>15477</x:v>
      </x:c>
      <x:c r="I45" s="76" t="n">
        <x:v>87</x:v>
      </x:c>
      <x:c r="J45" s="76" t="n">
        <x:v>385</x:v>
      </x:c>
      <x:c r="K45" s="76" t="n">
        <x:v>786081555</x:v>
      </x:c>
      <x:c r="L45" s="74" t="n">
        <x:v>0.7917548214752427</x:v>
      </x:c>
    </x:row>
    <x:row r="46">
      <x:c r="A46" s="54" t="str">
        <x:v>หนองแขม</x:v>
      </x:c>
      <x:c r="B46" s="72" t="n">
        <x:v>154956</x:v>
      </x:c>
      <x:c r="C46" s="72" t="n">
        <x:v>66262</x:v>
      </x:c>
      <x:c r="D46" s="74" t="n">
        <x:v>35.825</x:v>
      </x:c>
      <x:c r="E46" s="76" t="n">
        <x:v>71</x:v>
      </x:c>
      <x:c r="F46" s="76" t="n">
        <x:v>2</x:v>
      </x:c>
      <x:c r="G46" s="76" t="n">
        <x:v>55310</x:v>
      </x:c>
      <x:c r="H46" s="76" t="n">
        <x:v>11490</x:v>
      </x:c>
      <x:c r="I46" s="76" t="n">
        <x:v>83</x:v>
      </x:c>
      <x:c r="J46" s="76" t="n">
        <x:v>367</x:v>
      </x:c>
      <x:c r="K46" s="76" t="n">
        <x:v>903090000</x:v>
      </x:c>
      <x:c r="L46" s="74" t="n">
        <x:v>0.8079103411067079</x:v>
      </x:c>
    </x:row>
    <x:row r="47">
      <x:c r="A47" s="54" t="str">
        <x:v>ราษฎร์บูรณะ</x:v>
      </x:c>
      <x:c r="B47" s="72" t="n">
        <x:v>74584</x:v>
      </x:c>
      <x:c r="C47" s="72" t="n">
        <x:v>39190</x:v>
      </x:c>
      <x:c r="D47" s="74" t="n">
        <x:v>15.782</x:v>
      </x:c>
      <x:c r="E47" s="76" t="n">
        <x:v>28</x:v>
      </x:c>
      <x:c r="F47" s="76" t="n">
        <x:v>26</x:v>
      </x:c>
      <x:c r="G47" s="76" t="n">
        <x:v>16430</x:v>
      </x:c>
      <x:c r="H47" s="76" t="n">
        <x:v>10629</x:v>
      </x:c>
      <x:c r="I47" s="76" t="n">
        <x:v>40</x:v>
      </x:c>
      <x:c r="J47" s="76" t="n">
        <x:v>189</x:v>
      </x:c>
      <x:c r="K47" s="76" t="n">
        <x:v>395961000</x:v>
      </x:c>
      <x:c r="L47" s="74" t="n">
        <x:v>0.8339237942548069</x:v>
      </x:c>
    </x:row>
    <x:row r="48">
      <x:c r="A48" s="54" t="str">
        <x:v>จอมทอง</x:v>
      </x:c>
      <x:c r="B48" s="72" t="n">
        <x:v>141412</x:v>
      </x:c>
      <x:c r="C48" s="72" t="n">
        <x:v>74595</x:v>
      </x:c>
      <x:c r="D48" s="74" t="n">
        <x:v>26.265</x:v>
      </x:c>
      <x:c r="E48" s="76" t="n">
        <x:v>48</x:v>
      </x:c>
      <x:c r="F48" s="76" t="n">
        <x:v>3</x:v>
      </x:c>
      <x:c r="G48" s="76" t="n">
        <x:v>43767</x:v>
      </x:c>
      <x:c r="H48" s="76" t="n">
        <x:v>1948</x:v>
      </x:c>
      <x:c r="I48" s="76" t="n">
        <x:v>79</x:v>
      </x:c>
      <x:c r="J48" s="76" t="n">
        <x:v>404</x:v>
      </x:c>
      <x:c r="K48" s="76" t="n">
        <x:v>909415000</x:v>
      </x:c>
      <x:c r="L48" s="74" t="n">
        <x:v>0.7646113031517991</x:v>
      </x:c>
    </x:row>
    <x:row r="49">
      <x:c r="A49" s="54" t="str">
        <x:v>ดุสิต</x:v>
      </x:c>
      <x:c r="B49" s="72" t="n">
        <x:v>74977</x:v>
      </x:c>
      <x:c r="C49" s="72" t="n">
        <x:v>32869</x:v>
      </x:c>
      <x:c r="D49" s="74" t="n">
        <x:v>10.665</x:v>
      </x:c>
      <x:c r="E49" s="76" t="n">
        <x:v>43</x:v>
      </x:c>
      <x:c r="F49" s="76" t="n">
        <x:v>9</x:v>
      </x:c>
      <x:c r="G49" s="76" t="n">
        <x:v>33416</x:v>
      </x:c>
      <x:c r="H49" s="76" t="n">
        <x:v>1600</x:v>
      </x:c>
      <x:c r="I49" s="76" t="n">
        <x:v>39</x:v>
      </x:c>
      <x:c r="J49" s="76" t="n">
        <x:v>101</x:v>
      </x:c>
      <x:c r="K49" s="76" t="n">
        <x:v>237890000</x:v>
      </x:c>
      <x:c r="L49" s="74" t="n">
        <x:v>0.872796418772894</x:v>
      </x:c>
    </x:row>
    <x:row r="50">
      <x:c r="A50" s="54" t="str">
        <x:v>สะพานสูง</x:v>
      </x:c>
      <x:c r="B50" s="72" t="n">
        <x:v>96745</x:v>
      </x:c>
      <x:c r="C50" s="72" t="n">
        <x:v>43914</x:v>
      </x:c>
      <x:c r="D50" s="74" t="n">
        <x:v>28.124</x:v>
      </x:c>
      <x:c r="E50" s="76" t="n">
        <x:v>29</x:v>
      </x:c>
      <x:c r="F50" s="76" t="n">
        <x:v>27</x:v>
      </x:c>
      <x:c r="G50" s="76" t="n">
        <x:v>15974</x:v>
      </x:c>
      <x:c r="H50" s="76" t="n">
        <x:v>7460</x:v>
      </x:c>
      <x:c r="I50" s="76" t="n">
        <x:v>111</x:v>
      </x:c>
      <x:c r="J50" s="76" t="n">
        <x:v>486</x:v>
      </x:c>
      <x:c r="K50" s="76" t="n">
        <x:v>1002345000</x:v>
      </x:c>
      <x:c r="L50" s="74" t="n">
        <x:v>0.7925958816650405</x:v>
      </x:c>
    </x:row>
    <x:row r="51">
      <x:c r="A51" s="54" t="str">
        <x:v>หนองจอก</x:v>
      </x:c>
      <x:c r="B51" s="72" t="n">
        <x:v>184231</x:v>
      </x:c>
      <x:c r="C51" s="72" t="n">
        <x:v>74844</x:v>
      </x:c>
      <x:c r="D51" s="74" t="n">
        <x:v>236.261</x:v>
      </x:c>
      <x:c r="E51" s="76" t="n">
        <x:v>99</x:v>
      </x:c>
      <x:c r="F51" s="76" t="n">
        <x:v>0</x:v>
      </x:c>
      <x:c r="G51" s="76" t="n">
        <x:v>77446</x:v>
      </x:c>
      <x:c r="H51" s="76" t="n">
        <x:v>233844</x:v>
      </x:c>
      <x:c r="I51" s="76" t="n">
        <x:v>467</x:v>
      </x:c>
      <x:c r="J51" s="76" t="n">
        <x:v>371</x:v>
      </x:c>
      <x:c r="K51" s="76" t="n">
        <x:v>577472000</x:v>
      </x:c>
      <x:c r="L51" s="74" t="n">
        <x:v>0.7817052671760124</x:v>
      </x:c>
    </x:row>
  </x:sheetData>
  <x:pageMargins left="0.7" right="0.7" top="0.75" bottom="0.75" header="0.3" footer="0.3"/>
  <x:tableParts count="1">
    <x:tablePart xmlns:r="http://schemas.openxmlformats.org/officeDocument/2006/relationships" r:id="Rb764d8f7167f41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18" hidden="0" customWidth="1"/>
    <x:col min="5" max="5" width="24" hidden="0" customWidth="1"/>
    <x:col min="6" max="6" width="34" hidden="0" customWidth="1"/>
  </x:cols>
  <x:sheetData>
    <x:row r="1" ht="32" customHeight="1">
      <x:c r="A1" s="5" t="str">
        <x:v>การกำหนดน้ำหนักและวิธีคำนวณ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9" t="str">
        <x:v>องค์ประกอบรวม</x:v>
      </x:c>
      <x:c r="B4" s="39" t="str">
        <x:v>น้ำหนัก</x:v>
      </x:c>
      <x:c r="D4" s="39" t="str">
        <x:v>ระดับคะแนน</x:v>
      </x:c>
      <x:c r="E4" s="39" t="str">
        <x:v>เกณฑ์ขั้นต่ำ</x:v>
      </x:c>
    </x:row>
    <x:row r="5">
      <x:c r="A5" t="str">
        <x:v>ศักยภาพเศรษฐกิจ</x:v>
      </x:c>
      <x:c r="B5" s="78" t="n">
        <x:v>0.5</x:v>
      </x:c>
      <x:c r="D5" t="str">
        <x:v>สูงมาก</x:v>
      </x:c>
      <x:c r="E5" t="n">
        <x:v>80</x:v>
      </x:c>
    </x:row>
    <x:row r="6">
      <x:c r="A6" t="str">
        <x:v>ความแข็งแรงด้านสังคม (100 − ความเปราะบาง)</x:v>
      </x:c>
      <x:c r="B6" s="78" t="n">
        <x:v>0.5</x:v>
      </x:c>
      <x:c r="D6" t="str">
        <x:v>สูง</x:v>
      </x:c>
      <x:c r="E6" t="n">
        <x:v>60</x:v>
      </x:c>
    </x:row>
    <x:row r="7">
      <x:c r="A7" t="str">
        <x:v>ผลรวมน้ำหนัก</x:v>
      </x:c>
      <x:c r="B7" s="78" t="n">
        <x:f>SUM(B5:B6)</x:f>
        <x:v>1</x:v>
      </x:c>
      <x:c r="D7" t="str">
        <x:v>ปานกลาง</x:v>
      </x:c>
      <x:c r="E7" t="n">
        <x:v>40</x:v>
      </x:c>
    </x:row>
    <x:row r="8">
      <x:c r="D8" t="str">
        <x:v>ต่ำ</x:v>
      </x:c>
      <x:c r="E8" t="n">
        <x:v>20</x:v>
      </x:c>
    </x:row>
    <x:row r="9">
      <x:c r="A9" s="39" t="str">
        <x:v>ตัวชี้วัดศักยภาพเศรษฐกิจ</x:v>
      </x:c>
      <x:c r="B9" s="39" t="str">
        <x:v>น้ำหนัก</x:v>
      </x:c>
      <x:c r="C9" s="39" t="str">
        <x:v>ทิศทาง</x:v>
      </x:c>
      <x:c r="D9" t="str">
        <x:v>ต่ำมาก</x:v>
      </x:c>
      <x:c r="E9" t="n">
        <x:v>0</x:v>
      </x:c>
    </x:row>
    <x:row r="10">
      <x:c r="A10" t="str">
        <x:v>นิติบุคคลตั้งใหม่ต่อบ้าน 1,000 หลัง</x:v>
      </x:c>
      <x:c r="B10" s="78" t="n">
        <x:v>0.25</x:v>
      </x:c>
      <x:c r="C10" t="str">
        <x:v>ค่าสูง = ดี</x:v>
      </x:c>
    </x:row>
    <x:row r="11">
      <x:c r="A11" t="str">
        <x:v>ทุนจดทะเบียนต่อบ้าน (Winsorized P95)</x:v>
      </x:c>
      <x:c r="B11" s="78" t="n">
        <x:v>0.25</x:v>
      </x:c>
      <x:c r="C11" t="str">
        <x:v>ค่าสูง = ดี</x:v>
      </x:c>
      <x:c r="D11" s="39" t="str">
        <x:v>ขั้นตอน</x:v>
      </x:c>
      <x:c r="E11" s="39" t="str">
        <x:v>วิธี</x:v>
      </x:c>
      <x:c r="F11" s="39" t="str">
        <x:v>เหตุผล</x:v>
      </x:c>
    </x:row>
    <x:row r="12">
      <x:c r="A12" t="str">
        <x:v>ความหลากหลายของประเภทธุรกิจ</x:v>
      </x:c>
      <x:c r="B12" s="78" t="n">
        <x:v>0.25</x:v>
      </x:c>
      <x:c r="C12" t="str">
        <x:v>ค่าสูง = ดี</x:v>
      </x:c>
      <x:c r="D12" t="str">
        <x:v>1</x:v>
      </x:c>
      <x:c r="E12" t="str">
        <x:v>คำนวณอัตราส่วนต่อบ้าน/พื้นที่/ประชากร</x:v>
      </x:c>
      <x:c r="F12" t="str">
        <x:v>ลดผลจากขนาดเขต</x:v>
      </x:c>
    </x:row>
    <x:row r="13">
      <x:c r="A13" t="str">
        <x:v>ความหนาแน่นบ้านต่อ ตร.กม.</x:v>
      </x:c>
      <x:c r="B13" s="78" t="n">
        <x:v>0.25</x:v>
      </x:c>
      <x:c r="C13" t="str">
        <x:v>ค่าสูง = ดี</x:v>
      </x:c>
      <x:c r="D13" t="str">
        <x:v>2</x:v>
      </x:c>
      <x:c r="E13" t="str">
        <x:v>Winsorize ทุนต่อบ้านที่เปอร์เซ็นไทล์ 95</x:v>
      </x:c>
      <x:c r="F13" t="str">
        <x:v>ลดอิทธิพลทุนขนาดใหญ่มาก</x:v>
      </x:c>
    </x:row>
    <x:row r="14">
      <x:c r="A14" t="str">
        <x:v>ผลรวมน้ำหนักเศรษฐกิจ</x:v>
      </x:c>
      <x:c r="B14" s="78" t="n">
        <x:f>SUM(B10:B13)</x:f>
        <x:v>1</x:v>
      </x:c>
      <x:c r="D14" t="str">
        <x:v>3</x:v>
      </x:c>
      <x:c r="E14" t="str">
        <x:v>แปลงเป็น Percentile rank 0–100</x:v>
      </x:c>
      <x:c r="F14" t="str">
        <x:v>ทนต่อค่าผิดปกติและอ่านง่าย</x:v>
      </x:c>
    </x:row>
    <x:row r="15">
      <x:c r="D15" t="str">
        <x:v>4</x:v>
      </x:c>
      <x:c r="E15" t="str">
        <x:v>รวมคะแนนตามน้ำหนักที่กำหนด</x:v>
      </x:c>
      <x:c r="F15" t="str">
        <x:v>น้ำหนักแก้ไขได้</x:v>
      </x:c>
    </x:row>
    <x:row r="16">
      <x:c r="A16" s="83" t="str">
        <x:v>ตัวชี้วัดความเปราะบาง</x:v>
      </x:c>
      <x:c r="B16" s="83" t="str">
        <x:v>น้ำหนัก</x:v>
      </x:c>
      <x:c r="C16" s="83" t="str">
        <x:v>ทิศทาง</x:v>
      </x:c>
      <x:c r="D16" t="str">
        <x:v>5</x:v>
      </x:c>
      <x:c r="E16" t="str">
        <x:v>รวมศักยภาพกับ 100 − ความเปราะบาง</x:v>
      </x:c>
      <x:c r="F16" t="str">
        <x:v>คะแนนสูงหมายถึงความยืดหยุ่นสูง</x:v>
      </x:c>
    </x:row>
    <x:row r="17">
      <x:c r="A17" t="str">
        <x:v>สัดส่วนชุมชนแออัด</x:v>
      </x:c>
      <x:c r="B17" s="78" t="n">
        <x:v>0.25</x:v>
      </x:c>
      <x:c r="C17" t="str">
        <x:v>ค่าสูง = เปราะบาง</x:v>
      </x:c>
    </x:row>
    <x:row r="18">
      <x:c r="A18" t="str">
        <x:v>จำนวนคนต่อบ้าน</x:v>
      </x:c>
      <x:c r="B18" s="78" t="n">
        <x:v>0.25</x:v>
      </x:c>
      <x:c r="C18" t="str">
        <x:v>ค่าสูง = เปราะบาง</x:v>
      </x:c>
    </x:row>
    <x:row r="19">
      <x:c r="A19" t="str">
        <x:v>พื้นที่สีเขียวต่อคน</x:v>
      </x:c>
      <x:c r="B19" s="78" t="n">
        <x:v>0.25</x:v>
      </x:c>
      <x:c r="C19" t="str">
        <x:v>ค่าต่ำ = เปราะบาง</x:v>
      </x:c>
    </x:row>
    <x:row r="20">
      <x:c r="A20" t="str">
        <x:v>เหตุสาธารณภัยต่อบ้าน 10,000 หลัง</x:v>
      </x:c>
      <x:c r="B20" s="78" t="n">
        <x:v>0.25</x:v>
      </x:c>
      <x:c r="C20" t="str">
        <x:v>ค่าสูง = เปราะบาง</x:v>
      </x:c>
    </x:row>
    <x:row r="21">
      <x:c r="A21" t="str">
        <x:v>ผลรวมน้ำหนักความเปราะบาง</x:v>
      </x:c>
      <x:c r="B21" s="78" t="n">
        <x:f>SUM(B17:B20)</x:f>
        <x:v>1</x:v>
      </x:c>
    </x:row>
    <x:row r="23">
      <x:c r="A23" s="62" t="str">
        <x:v>ค่า Winsor cap: ทุนต่อบ้าน P95 (บาท)</x:v>
      </x:c>
      <x:c r="B23" s="88" t="n">
        <x:v>182574.98589423014</x:v>
      </x:c>
    </x:row>
    <x:row r="25">
      <x:c r="A25" s="94" t="str">
        <x:v>คำเตือน: ดัชนีนี้ใช้เปรียบเทียบเชิงพื้นที่ระหว่าง 50 เขตเท่านั้น ไม่ควรใช้ตัดสินความสามารถชำระหนี้หรือสินเชื่อรายบุคคล</x:v>
      </x:c>
      <x:c r="B25" s="94"/>
      <x:c r="C25" s="94"/>
      <x:c r="D25" s="94"/>
      <x:c r="E25" s="94"/>
      <x:c r="F25" s="94"/>
    </x:row>
    <x:row r="26">
      <x:c r="A26" s="94"/>
      <x:c r="B26" s="94"/>
      <x:c r="C26" s="94"/>
      <x:c r="D26" s="94"/>
      <x:c r="E26" s="94"/>
      <x:c r="F26" s="94"/>
    </x:row>
  </x:sheetData>
  <x:mergeCells>
    <x:mergeCell ref="A1:F2"/>
    <x:mergeCell ref="A25:F26"/>
  </x:mergeCells>
  <x:conditionalFormatting sqref="B7:B7">
    <x:cfRule type="cellIs" dxfId="0" priority="1" operator="notEqual">
      <x:formula>1</x:formula>
    </x:cfRule>
  </x:conditionalFormatting>
  <x:conditionalFormatting sqref="B14:B14">
    <x:cfRule type="cellIs" dxfId="1" priority="2" operator="notEqual">
      <x:formula>1</x:formula>
    </x:cfRule>
  </x:conditionalFormatting>
  <x:conditionalFormatting sqref="B21:B21">
    <x:cfRule type="cellIs" dxfId="2" priority="3" operator="not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44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2" customHeight="1">
      <x:c r="A1" s="5" t="str">
        <x:v>แหล่งข้อมูล คุณภาพข้อมูล และข้อจำกัด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9" t="str">
        <x:v>ตัวแปร</x:v>
      </x:c>
      <x:c r="B4" s="39" t="str">
        <x:v>ปี/ช่วงข้อมูล</x:v>
      </x:c>
      <x:c r="C4" s="39" t="str">
        <x:v>หน่วย</x:v>
      </x:c>
      <x:c r="D4" s="39" t="str">
        <x:v>แหล่งข้อมูล</x:v>
      </x:c>
      <x:c r="E4" s="39" t="str">
        <x:v>การแปลงข้อมูล</x:v>
      </x:c>
      <x:c r="F4" s="39" t="str">
        <x:v>ใช้ในดัชนี</x:v>
      </x:c>
      <x:c r="G4" s="39" t="str">
        <x:v>ความหมาย</x:v>
      </x:c>
      <x:c r="H4" s="39" t="str">
        <x:v>ข้อจำกัด</x:v>
      </x:c>
    </x:row>
    <x:row r="5" ht="60" customHeight="1">
      <x:c r="A5" s="113" t="str">
        <x:v>ประชากร</x:v>
      </x:c>
      <x:c r="B5" s="113" t="str">
        <x:v>พ.ศ. 2567</x:v>
      </x:c>
      <x:c r="C5" s="113" t="str">
        <x:v>คน</x:v>
      </x:c>
      <x:c r="D5" s="113" t="str">
        <x:v>https://webportal.bangkok.go.th/public/user_files_editor/130/BMA%20STATISTIC/BMA%20Stat%2067%20.pdf</x:v>
      </x:c>
      <x:c r="E5" s="113" t="str">
        <x:v>ใช้เป็นตัวหาร</x:v>
      </x:c>
      <x:c r="F5" s="113" t="str">
        <x:v>ไม่ถ่วงโดยตรง</x:v>
      </x:c>
      <x:c r="G5" s="113" t="str">
        <x:v>ประชากรทะเบียน</x:v>
      </x:c>
      <x:c r="H5" s="113" t="str">
        <x:v>ไม่รวมประชากรแฝง/กลางวัน</x:v>
      </x:c>
    </x:row>
    <x:row r="6" ht="60" customHeight="1">
      <x:c r="A6" s="113" t="str">
        <x:v>จำนวนบ้าน</x:v>
      </x:c>
      <x:c r="B6" s="113" t="str">
        <x:v>พ.ศ. 2567</x:v>
      </x:c>
      <x:c r="C6" s="113" t="str">
        <x:v>หลัง</x:v>
      </x:c>
      <x:c r="D6" s="113" t="str">
        <x:v>https://webportal.bangkok.go.th/public/user_files_editor/130/BMA%20STATISTIC/BMA%20Stat%2067%20.pdf</x:v>
      </x:c>
      <x:c r="E6" s="113" t="str">
        <x:v>ใช้เป็นตัวหารและความหนาแน่น</x:v>
      </x:c>
      <x:c r="F6" s="113" t="str">
        <x:v>ทางอ้อม</x:v>
      </x:c>
      <x:c r="G6" s="113" t="str">
        <x:v>สิ่งปลูกสร้างที่มีเลขที่บ้าน</x:v>
      </x:c>
      <x:c r="H6" s="113" t="str">
        <x:v>บ้านไม่เท่ากับครัวเรือน</x:v>
      </x:c>
    </x:row>
    <x:row r="7" ht="60" customHeight="1">
      <x:c r="A7" s="113" t="str">
        <x:v>พื้นที่เขต</x:v>
      </x:c>
      <x:c r="B7" s="113" t="str">
        <x:v>พ.ศ. 2567</x:v>
      </x:c>
      <x:c r="C7" s="113" t="str">
        <x:v>ตร.กม.</x:v>
      </x:c>
      <x:c r="D7" s="113" t="str">
        <x:v>https://webportal.bangkok.go.th/public/user_files_editor/130/BMA%20STATISTIC/BMA%20Stat%2067%20.pdf</x:v>
      </x:c>
      <x:c r="E7" s="113" t="str">
        <x:v>บ้านต่อ ตร.กม.</x:v>
      </x:c>
      <x:c r="F7" s="113" t="str">
        <x:v>ใช่</x:v>
      </x:c>
      <x:c r="G7" s="113" t="str">
        <x:v>ความเข้มข้นของเมือง</x:v>
      </x:c>
      <x:c r="H7" s="113" t="str">
        <x:v>ไม่ใช่พื้นที่ใช้ประโยชน์จริงทั้งหมด</x:v>
      </x:c>
    </x:row>
    <x:row r="8" ht="60" customHeight="1">
      <x:c r="A8" s="113" t="str">
        <x:v>ชุมชนแออัด</x:v>
      </x:c>
      <x:c r="B8" s="113" t="str">
        <x:v>รายงาน พ.ศ. 2567</x:v>
      </x:c>
      <x:c r="C8" s="113" t="str">
        <x:v>ชุมชน</x:v>
      </x:c>
      <x:c r="D8" s="113" t="str">
        <x:v>https://webportal.bangkok.go.th/public/user_files_editor/130/BMA%20STATISTIC/BMA%20Stat%2067%20.pdf</x:v>
      </x:c>
      <x:c r="E8" s="113" t="str">
        <x:v>แออัด/ชุมชนทั้งหมด</x:v>
      </x:c>
      <x:c r="F8" s="113" t="str">
        <x:v>ใช่</x:v>
      </x:c>
      <x:c r="G8" s="113" t="str">
        <x:v>ความเปราะบางชุมชน</x:v>
      </x:c>
      <x:c r="H8" s="113" t="str">
        <x:v>หัวตารางบางส่วนพิมพ์ 2566 แต่ข้อความและฉบับรายงานระบุ 2567; ควรยืนยันก่อนตีพิมพ์</x:v>
      </x:c>
    </x:row>
    <x:row r="9" ht="60" customHeight="1">
      <x:c r="A9" s="113" t="str">
        <x:v>พื้นที่สีเขียว</x:v>
      </x:c>
      <x:c r="B9" s="113" t="str">
        <x:v>ปีงบประมาณ 2567</x:v>
      </x:c>
      <x:c r="C9" s="113" t="str">
        <x:v>ตร.ม.</x:v>
      </x:c>
      <x:c r="D9" s="113" t="str">
        <x:v>https://webportal.bangkok.go.th/public/user_files_editor/130/BMA%20STATISTIC/BMA%20Stat%2067%20.pdf</x:v>
      </x:c>
      <x:c r="E9" s="113" t="str">
        <x:v>พื้นที่/ประชากร</x:v>
      </x:c>
      <x:c r="F9" s="113" t="str">
        <x:v>ใช่ (กลับทิศ)</x:v>
      </x:c>
      <x:c r="G9" s="113" t="str">
        <x:v>ทรัพยากรสิ่งแวดล้อม</x:v>
      </x:c>
      <x:c r="H9" s="113" t="str">
        <x:v>เป็นพื้นที่ในระบบที่รายงาน ไม่ใช่ land cover ทั้งเขต</x:v>
      </x:c>
    </x:row>
    <x:row r="10" ht="60" customHeight="1">
      <x:c r="A10" s="113" t="str">
        <x:v>เหตุสาธารณภัย</x:v>
      </x:c>
      <x:c r="B10" s="113" t="str">
        <x:v>ปีงบประมาณ 2567</x:v>
      </x:c>
      <x:c r="C10" s="113" t="str">
        <x:v>ครั้ง</x:v>
      </x:c>
      <x:c r="D10" s="113" t="str">
        <x:v>https://webportal.bangkok.go.th/public/user_files_editor/130/BMA%20STATISTIC/BMA%20Stat%2067%20.pdf</x:v>
      </x:c>
      <x:c r="E10" s="113" t="str">
        <x:v>เหตุรวม/บ้าน 10,000 หลัง</x:v>
      </x:c>
      <x:c r="F10" s="113" t="str">
        <x:v>ใช่</x:v>
      </x:c>
      <x:c r="G10" s="113" t="str">
        <x:v>ความเสี่ยงเชิงพื้นที่</x:v>
      </x:c>
      <x:c r="H10" s="113" t="str">
        <x:v>รวมเหตุหลายชนิดและขึ้นกับการรายงาน</x:v>
      </x:c>
    </x:row>
    <x:row r="11" ht="60" customHeight="1">
      <x:c r="A11" s="113" t="str">
        <x:v>นิติบุคคลตั้งใหม่</x:v>
      </x:c>
      <x:c r="B11" s="113" t="str">
        <x:v>ม.ค.–ธ.ค. 2567</x:v>
      </x:c>
      <x:c r="C11" s="113" t="str">
        <x:v>ราย</x:v>
      </x:c>
      <x:c r="D11" s="113" t="str">
        <x:v>https://opendata.dbd.go.th/dataset/dataset_11_01</x:v>
      </x:c>
      <x:c r="E11" s="113" t="str">
        <x:v>จำนวน/บ้าน 1,000 หลัง</x:v>
      </x:c>
      <x:c r="F11" s="113" t="str">
        <x:v>ใช่</x:v>
      </x:c>
      <x:c r="G11" s="113" t="str">
        <x:v>พลวัตธุรกิจใหม่</x:v>
      </x:c>
      <x:c r="H11" s="113" t="str">
        <x:v>สะท้อนที่ตั้งสำนักงานใหญ่</x:v>
      </x:c>
    </x:row>
    <x:row r="12" ht="60" customHeight="1">
      <x:c r="A12" s="113" t="str">
        <x:v>ทุนจดทะเบียน</x:v>
      </x:c>
      <x:c r="B12" s="113" t="str">
        <x:v>ม.ค.–ธ.ค. 2567</x:v>
      </x:c>
      <x:c r="C12" s="113" t="str">
        <x:v>บาท</x:v>
      </x:c>
      <x:c r="D12" s="113" t="str">
        <x:v>https://opendata.dbd.go.th/dataset/dataset_11_01</x:v>
      </x:c>
      <x:c r="E12" s="113" t="str">
        <x:v>ทุน/บ้าน + Winsor P95</x:v>
      </x:c>
      <x:c r="F12" s="113" t="str">
        <x:v>ใช่</x:v>
      </x:c>
      <x:c r="G12" s="113" t="str">
        <x:v>ขนาดทุนที่จดทะเบียน</x:v>
      </x:c>
      <x:c r="H12" s="113" t="str">
        <x:v>ไม่เท่ากับการลงทุนจริง</x:v>
      </x:c>
    </x:row>
    <x:row r="13" ht="60" customHeight="1">
      <x:c r="A13" s="113" t="str">
        <x:v>ความหลากหลายธุรกิจ</x:v>
      </x:c>
      <x:c r="B13" s="113" t="str">
        <x:v>ม.ค.–ธ.ค. 2567</x:v>
      </x:c>
      <x:c r="C13" s="113" t="str">
        <x:v>0–1</x:v>
      </x:c>
      <x:c r="D13" s="113" t="str">
        <x:v>https://opendata.dbd.go.th/dataset/dataset_11_01</x:v>
      </x:c>
      <x:c r="E13" s="113" t="str">
        <x:v>Normalized Shannon entropy</x:v>
      </x:c>
      <x:c r="F13" s="113" t="str">
        <x:v>ใช่</x:v>
      </x:c>
      <x:c r="G13" s="113" t="str">
        <x:v>ความหลากหลายธุรกิจใหม่</x:v>
      </x:c>
      <x:c r="H13" s="113" t="str">
        <x:v>ไม่รวมธุรกิจเดิมทั้งหมด</x:v>
      </x:c>
    </x:row>
    <x:row r="15">
      <x:c r="A15" s="22" t="str">
        <x:v>การตรวจสอบ</x:v>
      </x:c>
      <x:c r="B15" s="22" t="str">
        <x:v>ผล</x:v>
      </x:c>
      <x:c r="C15" s="22" t="str"/>
      <x:c r="D15" s="22" t="str"/>
      <x:c r="E15" s="22" t="str"/>
      <x:c r="F15" s="22" t="str"/>
      <x:c r="G15" s="22" t="str"/>
      <x:c r="H15" s="22" t="str"/>
    </x:row>
    <x:row r="16">
      <x:c r="A16" s="54" t="str">
        <x:v>จำนวนเขตที่มีข้อมูลหลักครบ</x:v>
      </x:c>
      <x:c r="B16" s="54" t="str">
        <x:v>50 จาก 50 เขต</x:v>
      </x:c>
    </x:row>
    <x:row r="17">
      <x:c r="A17" s="54" t="str">
        <x:v>DBD กรุงเทพมหานครก่อนมาตรฐานชื่อ</x:v>
      </x:c>
      <x:c r="B17" s="54" t="str">
        <x:v>26,587 รายการ</x:v>
      </x:c>
    </x:row>
    <x:row r="18">
      <x:c r="A18" s="54" t="str">
        <x:v>DBD ที่จับคู่เขตได้หลังมาตรฐานชื่อ</x:v>
      </x:c>
      <x:c r="B18" s="54" t="str">
        <x:v>26,587 รายการ (100%)</x:v>
      </x:c>
    </x:row>
    <x:row r="19">
      <x:c r="A19" s="54" t="str">
        <x:v>Winsor P95 ทุนต่อบ้าน</x:v>
      </x:c>
      <x:c r="B19" s="54" t="str">
        <x:v>182,574.99 บาท/บ้าน</x:v>
      </x:c>
    </x:row>
    <x:row r="20">
      <x:c r="A20" s="54" t="str">
        <x:v>สถานะดัชนี</x:v>
      </x:c>
      <x:c r="B20" s="54" t="str">
        <x:v>ต้นแบบเชิงวิจัย ต้องทดสอบความไวและผู้เชี่ยวชาญก่อนใช้เชิงนโยบาย</x:v>
      </x:c>
    </x:row>
  </x:sheetData>
  <x:mergeCells>
    <x:mergeCell ref="A1:H2"/>
    <x:mergeCell ref="B15:H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2" customHeight="1">
      <x:c r="A1" s="39" t="str">
        <x:v>district_th</x:v>
      </x:c>
      <x:c r="B1" s="39" t="str">
        <x:v>district_join_name</x:v>
      </x:c>
      <x:c r="C1" s="39" t="str">
        <x:v>rank_current</x:v>
      </x:c>
      <x:c r="D1" s="39" t="str">
        <x:v>resilience_score_current</x:v>
      </x:c>
      <x:c r="E1" s="39" t="str">
        <x:v>economic_score_current</x:v>
      </x:c>
      <x:c r="F1" s="39" t="str">
        <x:v>vulnerability_score_current</x:v>
      </x:c>
      <x:c r="G1" s="39" t="str">
        <x:v>class_current</x:v>
      </x:c>
      <x:c r="H1" s="39" t="str">
        <x:v>population</x:v>
      </x:c>
      <x:c r="I1" s="39" t="str">
        <x:v>houses</x:v>
      </x:c>
      <x:c r="J1" s="39" t="str">
        <x:v>area_sqkm</x:v>
      </x:c>
    </x:row>
    <x:row r="2">
      <x:c r="A2" s="54" t="str">
        <x:v>คลองเตย</x:v>
      </x:c>
      <x:c r="B2" s="54" t="str">
        <x:f>"เขต"&amp;A2</x:f>
        <x:v>เขตคลองเตย</x:v>
      </x:c>
      <x:c r="C2" s="116" t="n">
        <x:f>Index_50_Districts!A2</x:f>
        <x:v>1</x:v>
      </x:c>
      <x:c r="D2" s="56" t="n">
        <x:f>Index_50_Districts!C2</x:f>
        <x:v>73.72448979591837</x:v>
      </x:c>
      <x:c r="E2" s="56" t="n">
        <x:f>Index_50_Districts!D2</x:f>
        <x:v>68.87755102040816</x:v>
      </x:c>
      <x:c r="F2" s="56" t="n">
        <x:f>Index_50_Districts!E2</x:f>
        <x:v>21.428571428571427</x:v>
      </x:c>
      <x:c r="G2" s="54" t="str">
        <x:f>Index_50_Districts!F2</x:f>
        <x:v>สูง</x:v>
      </x:c>
      <x:c r="H2" s="72" t="n">
        <x:f>Raw_Data!B2</x:f>
        <x:v>89013</x:v>
      </x:c>
      <x:c r="I2" s="72" t="n">
        <x:f>Raw_Data!C2</x:f>
        <x:v>83803</x:v>
      </x:c>
      <x:c r="J2" s="74" t="n">
        <x:f>Raw_Data!D2</x:f>
        <x:v>12.994</x:v>
      </x:c>
    </x:row>
    <x:row r="3">
      <x:c r="A3" s="54" t="str">
        <x:v>ปทุมวัน</x:v>
      </x:c>
      <x:c r="B3" s="54" t="str">
        <x:f>"เขต"&amp;A3</x:f>
        <x:v>เขตปทุมวัน</x:v>
      </x:c>
      <x:c r="C3" s="116" t="n">
        <x:f>Index_50_Districts!A3</x:f>
        <x:v>2</x:v>
      </x:c>
      <x:c r="D3" s="56" t="n">
        <x:f>Index_50_Districts!C3</x:f>
        <x:v>71.17346938775509</x:v>
      </x:c>
      <x:c r="E3" s="56" t="n">
        <x:f>Index_50_Districts!D3</x:f>
        <x:v>77.0408163265306</x:v>
      </x:c>
      <x:c r="F3" s="56" t="n">
        <x:f>Index_50_Districts!E3</x:f>
        <x:v>34.69387755102041</x:v>
      </x:c>
      <x:c r="G3" s="54" t="str">
        <x:f>Index_50_Districts!F3</x:f>
        <x:v>สูง</x:v>
      </x:c>
      <x:c r="H3" s="72" t="n">
        <x:f>Raw_Data!B3</x:f>
        <x:v>39345</x:v>
      </x:c>
      <x:c r="I3" s="72" t="n">
        <x:f>Raw_Data!C3</x:f>
        <x:v>32452</x:v>
      </x:c>
      <x:c r="J3" s="74" t="n">
        <x:f>Raw_Data!D3</x:f>
        <x:v>8.369</x:v>
      </x:c>
    </x:row>
    <x:row r="4">
      <x:c r="A4" s="54" t="str">
        <x:v>วัฒนา</x:v>
      </x:c>
      <x:c r="B4" s="54" t="str">
        <x:f>"เขต"&amp;A4</x:f>
        <x:v>เขตวัฒนา</x:v>
      </x:c>
      <x:c r="C4" s="116" t="n">
        <x:f>Index_50_Districts!A4</x:f>
        <x:v>3</x:v>
      </x:c>
      <x:c r="D4" s="56" t="n">
        <x:f>Index_50_Districts!C4</x:f>
        <x:v>68.36734693877551</x:v>
      </x:c>
      <x:c r="E4" s="56" t="n">
        <x:f>Index_50_Districts!D4</x:f>
        <x:v>68.87755102040816</x:v>
      </x:c>
      <x:c r="F4" s="56" t="n">
        <x:f>Index_50_Districts!E4</x:f>
        <x:v>32.14285714285714</x:v>
      </x:c>
      <x:c r="G4" s="54" t="str">
        <x:f>Index_50_Districts!F4</x:f>
        <x:v>สูง</x:v>
      </x:c>
      <x:c r="H4" s="72" t="n">
        <x:f>Raw_Data!B4</x:f>
        <x:v>80349</x:v>
      </x:c>
      <x:c r="I4" s="72" t="n">
        <x:f>Raw_Data!C4</x:f>
        <x:v>87305</x:v>
      </x:c>
      <x:c r="J4" s="74" t="n">
        <x:f>Raw_Data!D4</x:f>
        <x:v>12.565</x:v>
      </x:c>
    </x:row>
    <x:row r="5">
      <x:c r="A5" s="54" t="str">
        <x:v>จตุจักร</x:v>
      </x:c>
      <x:c r="B5" s="54" t="str">
        <x:f>"เขต"&amp;A5</x:f>
        <x:v>เขตจตุจักร</x:v>
      </x:c>
      <x:c r="C5" s="116" t="n">
        <x:f>Index_50_Districts!A5</x:f>
        <x:v>4</x:v>
      </x:c>
      <x:c r="D5" s="56" t="n">
        <x:f>Index_50_Districts!C5</x:f>
        <x:v>67.34693877551021</x:v>
      </x:c>
      <x:c r="E5" s="56" t="n">
        <x:f>Index_50_Districts!D5</x:f>
        <x:v>57.14285714285714</x:v>
      </x:c>
      <x:c r="F5" s="56" t="n">
        <x:f>Index_50_Districts!E5</x:f>
        <x:v>22.448979591836736</x:v>
      </x:c>
      <x:c r="G5" s="54" t="str">
        <x:f>Index_50_Districts!F5</x:f>
        <x:v>สูง</x:v>
      </x:c>
      <x:c r="H5" s="72" t="n">
        <x:f>Raw_Data!B5</x:f>
        <x:v>154500</x:v>
      </x:c>
      <x:c r="I5" s="72" t="n">
        <x:f>Raw_Data!C5</x:f>
        <x:v>140621</x:v>
      </x:c>
      <x:c r="J5" s="74" t="n">
        <x:f>Raw_Data!D5</x:f>
        <x:v>32.908</x:v>
      </x:c>
    </x:row>
    <x:row r="6">
      <x:c r="A6" s="54" t="str">
        <x:v>สาทร</x:v>
      </x:c>
      <x:c r="B6" s="54" t="str">
        <x:f>"เขต"&amp;A6</x:f>
        <x:v>เขตสาทร</x:v>
      </x:c>
      <x:c r="C6" s="116" t="n">
        <x:f>Index_50_Districts!A6</x:f>
        <x:v>5</x:v>
      </x:c>
      <x:c r="D6" s="56" t="n">
        <x:f>Index_50_Districts!C6</x:f>
        <x:v>66.07142857142857</x:v>
      </x:c>
      <x:c r="E6" s="56" t="n">
        <x:f>Index_50_Districts!D6</x:f>
        <x:v>78.57142857142857</x:v>
      </x:c>
      <x:c r="F6" s="56" t="n">
        <x:f>Index_50_Districts!E6</x:f>
        <x:v>46.42857142857143</x:v>
      </x:c>
      <x:c r="G6" s="54" t="str">
        <x:f>Index_50_Districts!F6</x:f>
        <x:v>สูง</x:v>
      </x:c>
      <x:c r="H6" s="72" t="n">
        <x:f>Raw_Data!B6</x:f>
        <x:v>70320</x:v>
      </x:c>
      <x:c r="I6" s="72" t="n">
        <x:f>Raw_Data!C6</x:f>
        <x:v>45256</x:v>
      </x:c>
      <x:c r="J6" s="74" t="n">
        <x:f>Raw_Data!D6</x:f>
        <x:v>9.326</x:v>
      </x:c>
    </x:row>
    <x:row r="7">
      <x:c r="A7" s="54" t="str">
        <x:v>ห้วยขวาง</x:v>
      </x:c>
      <x:c r="B7" s="54" t="str">
        <x:f>"เขต"&amp;A7</x:f>
        <x:v>เขตห้วยขวาง</x:v>
      </x:c>
      <x:c r="C7" s="116" t="n">
        <x:f>Index_50_Districts!A7</x:f>
        <x:v>6</x:v>
      </x:c>
      <x:c r="D7" s="56" t="n">
        <x:f>Index_50_Districts!C7</x:f>
        <x:v>65.56122448979592</x:v>
      </x:c>
      <x:c r="E7" s="56" t="n">
        <x:f>Index_50_Districts!D7</x:f>
        <x:v>82.65306122448979</x:v>
      </x:c>
      <x:c r="F7" s="56" t="n">
        <x:f>Index_50_Districts!E7</x:f>
        <x:v>51.53061224489796</x:v>
      </x:c>
      <x:c r="G7" s="54" t="str">
        <x:f>Index_50_Districts!F7</x:f>
        <x:v>สูง</x:v>
      </x:c>
      <x:c r="H7" s="72" t="n">
        <x:f>Raw_Data!B7</x:f>
        <x:v>83958</x:v>
      </x:c>
      <x:c r="I7" s="72" t="n">
        <x:f>Raw_Data!C7</x:f>
        <x:v>95001</x:v>
      </x:c>
      <x:c r="J7" s="74" t="n">
        <x:f>Raw_Data!D7</x:f>
        <x:v>15.033</x:v>
      </x:c>
    </x:row>
    <x:row r="8">
      <x:c r="A8" s="54" t="str">
        <x:v>บางนา</x:v>
      </x:c>
      <x:c r="B8" s="54" t="str">
        <x:f>"เขต"&amp;A8</x:f>
        <x:v>เขตบางนา</x:v>
      </x:c>
      <x:c r="C8" s="116" t="n">
        <x:f>Index_50_Districts!A8</x:f>
        <x:v>7</x:v>
      </x:c>
      <x:c r="D8" s="56" t="n">
        <x:f>Index_50_Districts!C8</x:f>
        <x:v>65.05102040816325</x:v>
      </x:c>
      <x:c r="E8" s="56" t="n">
        <x:f>Index_50_Districts!D8</x:f>
        <x:v>65.81632653061224</x:v>
      </x:c>
      <x:c r="F8" s="56" t="n">
        <x:f>Index_50_Districts!E8</x:f>
        <x:v>35.714285714285715</x:v>
      </x:c>
      <x:c r="G8" s="54" t="str">
        <x:f>Index_50_Districts!F8</x:f>
        <x:v>สูง</x:v>
      </x:c>
      <x:c r="H8" s="72" t="n">
        <x:f>Raw_Data!B8</x:f>
        <x:v>85001</x:v>
      </x:c>
      <x:c r="I8" s="72" t="n">
        <x:f>Raw_Data!C8</x:f>
        <x:v>78445</x:v>
      </x:c>
      <x:c r="J8" s="74" t="n">
        <x:f>Raw_Data!D8</x:f>
        <x:v>18.789</x:v>
      </x:c>
    </x:row>
    <x:row r="9">
      <x:c r="A9" s="54" t="str">
        <x:v>สวนหลวง</x:v>
      </x:c>
      <x:c r="B9" s="54" t="str">
        <x:f>"เขต"&amp;A9</x:f>
        <x:v>เขตสวนหลวง</x:v>
      </x:c>
      <x:c r="C9" s="116" t="n">
        <x:f>Index_50_Districts!A9</x:f>
        <x:v>8</x:v>
      </x:c>
      <x:c r="D9" s="56" t="n">
        <x:f>Index_50_Districts!C9</x:f>
        <x:v>62.75510204081633</x:v>
      </x:c>
      <x:c r="E9" s="56" t="n">
        <x:f>Index_50_Districts!D9</x:f>
        <x:v>60.71428571428572</x:v>
      </x:c>
      <x:c r="F9" s="56" t="n">
        <x:f>Index_50_Districts!E9</x:f>
        <x:v>35.20408163265306</x:v>
      </x:c>
      <x:c r="G9" s="54" t="str">
        <x:f>Index_50_Districts!F9</x:f>
        <x:v>สูง</x:v>
      </x:c>
      <x:c r="H9" s="72" t="n">
        <x:f>Raw_Data!B9</x:f>
        <x:v>123405</x:v>
      </x:c>
      <x:c r="I9" s="72" t="n">
        <x:f>Raw_Data!C9</x:f>
        <x:v>85646</x:v>
      </x:c>
      <x:c r="J9" s="74" t="n">
        <x:f>Raw_Data!D9</x:f>
        <x:v>23.678</x:v>
      </x:c>
    </x:row>
    <x:row r="10">
      <x:c r="A10" s="54" t="str">
        <x:v>ยานนาวา</x:v>
      </x:c>
      <x:c r="B10" s="54" t="str">
        <x:f>"เขต"&amp;A10</x:f>
        <x:v>เขตยานนาวา</x:v>
      </x:c>
      <x:c r="C10" s="116" t="n">
        <x:f>Index_50_Districts!A10</x:f>
        <x:v>9</x:v>
      </x:c>
      <x:c r="D10" s="56" t="n">
        <x:f>Index_50_Districts!C10</x:f>
        <x:v>61.22448979591836</x:v>
      </x:c>
      <x:c r="E10" s="56" t="n">
        <x:f>Index_50_Districts!D10</x:f>
        <x:v>60.20408163265306</x:v>
      </x:c>
      <x:c r="F10" s="56" t="n">
        <x:f>Index_50_Districts!E10</x:f>
        <x:v>37.75510204081633</x:v>
      </x:c>
      <x:c r="G10" s="54" t="str">
        <x:f>Index_50_Districts!F10</x:f>
        <x:v>สูง</x:v>
      </x:c>
      <x:c r="H10" s="72" t="n">
        <x:f>Raw_Data!B10</x:f>
        <x:v>72833</x:v>
      </x:c>
      <x:c r="I10" s="72" t="n">
        <x:f>Raw_Data!C10</x:f>
        <x:v>54412</x:v>
      </x:c>
      <x:c r="J10" s="74" t="n">
        <x:f>Raw_Data!D10</x:f>
        <x:v>16.662</x:v>
      </x:c>
    </x:row>
    <x:row r="11">
      <x:c r="A11" s="54" t="str">
        <x:v>พญาไท</x:v>
      </x:c>
      <x:c r="B11" s="54" t="str">
        <x:f>"เขต"&amp;A11</x:f>
        <x:v>เขตพญาไท</x:v>
      </x:c>
      <x:c r="C11" s="116" t="n">
        <x:f>Index_50_Districts!A11</x:f>
        <x:v>10</x:v>
      </x:c>
      <x:c r="D11" s="56" t="n">
        <x:f>Index_50_Districts!C11</x:f>
        <x:v>60.714285714285715</x:v>
      </x:c>
      <x:c r="E11" s="56" t="n">
        <x:f>Index_50_Districts!D11</x:f>
        <x:v>65.81632653061224</x:v>
      </x:c>
      <x:c r="F11" s="56" t="n">
        <x:f>Index_50_Districts!E11</x:f>
        <x:v>44.38775510204081</x:v>
      </x:c>
      <x:c r="G11" s="54" t="str">
        <x:f>Index_50_Districts!F11</x:f>
        <x:v>สูง</x:v>
      </x:c>
      <x:c r="H11" s="72" t="n">
        <x:f>Raw_Data!B11</x:f>
        <x:v>62632</x:v>
      </x:c>
      <x:c r="I11" s="72" t="n">
        <x:f>Raw_Data!C11</x:f>
        <x:v>46536</x:v>
      </x:c>
      <x:c r="J11" s="74" t="n">
        <x:f>Raw_Data!D11</x:f>
        <x:v>9.595</x:v>
      </x:c>
    </x:row>
    <x:row r="12">
      <x:c r="A12" s="54" t="str">
        <x:v>ป้อมปราบศัตรูพ่าย</x:v>
      </x:c>
      <x:c r="B12" s="54" t="str">
        <x:f>"เขต"&amp;A12</x:f>
        <x:v>เขตป้อมปราบศัตรูพ่าย</x:v>
      </x:c>
      <x:c r="C12" s="116" t="n">
        <x:f>Index_50_Districts!A12</x:f>
        <x:v>11</x:v>
      </x:c>
      <x:c r="D12" s="56" t="n">
        <x:f>Index_50_Districts!C12</x:f>
        <x:v>59.94897959183673</x:v>
      </x:c>
      <x:c r="E12" s="56" t="n">
        <x:f>Index_50_Districts!D12</x:f>
        <x:v>64.79591836734694</x:v>
      </x:c>
      <x:c r="F12" s="56" t="n">
        <x:f>Index_50_Districts!E12</x:f>
        <x:v>44.89795918367347</x:v>
      </x:c>
      <x:c r="G12" s="54" t="str">
        <x:f>Index_50_Districts!F12</x:f>
        <x:v>ปานกลาง</x:v>
      </x:c>
      <x:c r="H12" s="72" t="n">
        <x:f>Raw_Data!B12</x:f>
        <x:v>36905</x:v>
      </x:c>
      <x:c r="I12" s="72" t="n">
        <x:f>Raw_Data!C12</x:f>
        <x:v>19623</x:v>
      </x:c>
      <x:c r="J12" s="74" t="n">
        <x:f>Raw_Data!D12</x:f>
        <x:v>1.931</x:v>
      </x:c>
    </x:row>
    <x:row r="13">
      <x:c r="A13" s="54" t="str">
        <x:v>บึงกุ่ม</x:v>
      </x:c>
      <x:c r="B13" s="54" t="str">
        <x:f>"เขต"&amp;A13</x:f>
        <x:v>เขตบึงกุ่ม</x:v>
      </x:c>
      <x:c r="C13" s="116" t="n">
        <x:f>Index_50_Districts!A13</x:f>
        <x:v>12</x:v>
      </x:c>
      <x:c r="D13" s="56" t="n">
        <x:f>Index_50_Districts!C13</x:f>
        <x:v>58.673469387755105</x:v>
      </x:c>
      <x:c r="E13" s="56" t="n">
        <x:f>Index_50_Districts!D13</x:f>
        <x:v>61.73469387755102</x:v>
      </x:c>
      <x:c r="F13" s="56" t="n">
        <x:f>Index_50_Districts!E13</x:f>
        <x:v>44.38775510204081</x:v>
      </x:c>
      <x:c r="G13" s="54" t="str">
        <x:f>Index_50_Districts!F13</x:f>
        <x:v>ปานกลาง</x:v>
      </x:c>
      <x:c r="H13" s="72" t="n">
        <x:f>Raw_Data!B13</x:f>
        <x:v>136108</x:v>
      </x:c>
      <x:c r="I13" s="72" t="n">
        <x:f>Raw_Data!C13</x:f>
        <x:v>77441</x:v>
      </x:c>
      <x:c r="J13" s="74" t="n">
        <x:f>Raw_Data!D13</x:f>
        <x:v>24.311</x:v>
      </x:c>
    </x:row>
    <x:row r="14">
      <x:c r="A14" s="54" t="str">
        <x:v>ลาดพร้าว</x:v>
      </x:c>
      <x:c r="B14" s="54" t="str">
        <x:f>"เขต"&amp;A14</x:f>
        <x:v>เขตลาดพร้าว</x:v>
      </x:c>
      <x:c r="C14" s="116" t="n">
        <x:f>Index_50_Districts!A14</x:f>
        <x:v>13</x:v>
      </x:c>
      <x:c r="D14" s="56" t="n">
        <x:f>Index_50_Districts!C14</x:f>
        <x:v>58.41836734693878</x:v>
      </x:c>
      <x:c r="E14" s="56" t="n">
        <x:f>Index_50_Districts!D14</x:f>
        <x:v>55.61224489795919</x:v>
      </x:c>
      <x:c r="F14" s="56" t="n">
        <x:f>Index_50_Districts!E14</x:f>
        <x:v>38.775510204081634</x:v>
      </x:c>
      <x:c r="G14" s="54" t="str">
        <x:f>Index_50_Districts!F14</x:f>
        <x:v>ปานกลาง</x:v>
      </x:c>
      <x:c r="H14" s="72" t="n">
        <x:f>Raw_Data!B14</x:f>
        <x:v>112086</x:v>
      </x:c>
      <x:c r="I14" s="72" t="n">
        <x:f>Raw_Data!C14</x:f>
        <x:v>60732</x:v>
      </x:c>
      <x:c r="J14" s="74" t="n">
        <x:f>Raw_Data!D14</x:f>
        <x:v>22.157</x:v>
      </x:c>
    </x:row>
    <x:row r="15">
      <x:c r="A15" s="54" t="str">
        <x:v>บางรัก</x:v>
      </x:c>
      <x:c r="B15" s="54" t="str">
        <x:f>"เขต"&amp;A15</x:f>
        <x:v>เขตบางรัก</x:v>
      </x:c>
      <x:c r="C15" s="116" t="n">
        <x:f>Index_50_Districts!A15</x:f>
        <x:v>15</x:v>
      </x:c>
      <x:c r="D15" s="56" t="n">
        <x:f>Index_50_Districts!C15</x:f>
        <x:v>56.88775510204081</x:v>
      </x:c>
      <x:c r="E15" s="56" t="n">
        <x:f>Index_50_Districts!D15</x:f>
        <x:v>70.40816326530611</x:v>
      </x:c>
      <x:c r="F15" s="56" t="n">
        <x:f>Index_50_Districts!E15</x:f>
        <x:v>56.63265306122449</x:v>
      </x:c>
      <x:c r="G15" s="54" t="str">
        <x:f>Index_50_Districts!F15</x:f>
        <x:v>ปานกลาง</x:v>
      </x:c>
      <x:c r="H15" s="72" t="n">
        <x:f>Raw_Data!B15</x:f>
        <x:v>41701</x:v>
      </x:c>
      <x:c r="I15" s="72" t="n">
        <x:f>Raw_Data!C15</x:f>
        <x:v>36025</x:v>
      </x:c>
      <x:c r="J15" s="74" t="n">
        <x:f>Raw_Data!D15</x:f>
        <x:v>5.536</x:v>
      </x:c>
    </x:row>
    <x:row r="16">
      <x:c r="A16" s="54" t="str">
        <x:v>ราชเทวี</x:v>
      </x:c>
      <x:c r="B16" s="54" t="str">
        <x:f>"เขต"&amp;A16</x:f>
        <x:v>เขตราชเทวี</x:v>
      </x:c>
      <x:c r="C16" s="116" t="n">
        <x:f>Index_50_Districts!A16</x:f>
        <x:v>14</x:v>
      </x:c>
      <x:c r="D16" s="56" t="n">
        <x:f>Index_50_Districts!C16</x:f>
        <x:v>57.14285714285714</x:v>
      </x:c>
      <x:c r="E16" s="56" t="n">
        <x:f>Index_50_Districts!D16</x:f>
        <x:v>62.24489795918367</x:v>
      </x:c>
      <x:c r="F16" s="56" t="n">
        <x:f>Index_50_Districts!E16</x:f>
        <x:v>47.95918367346938</x:v>
      </x:c>
      <x:c r="G16" s="54" t="str">
        <x:f>Index_50_Districts!F16</x:f>
        <x:v>ปานกลาง</x:v>
      </x:c>
      <x:c r="H16" s="72" t="n">
        <x:f>Raw_Data!B16</x:f>
        <x:v>63025</x:v>
      </x:c>
      <x:c r="I16" s="72" t="n">
        <x:f>Raw_Data!C16</x:f>
        <x:v>58075</x:v>
      </x:c>
      <x:c r="J16" s="74" t="n">
        <x:f>Raw_Data!D16</x:f>
        <x:v>7.126</x:v>
      </x:c>
    </x:row>
    <x:row r="17">
      <x:c r="A17" s="54" t="str">
        <x:v>บางกะปิ</x:v>
      </x:c>
      <x:c r="B17" s="54" t="str">
        <x:f>"เขต"&amp;A17</x:f>
        <x:v>เขตบางกะปิ</x:v>
      </x:c>
      <x:c r="C17" s="116" t="n">
        <x:f>Index_50_Districts!A17</x:f>
        <x:v>16</x:v>
      </x:c>
      <x:c r="D17" s="56" t="n">
        <x:f>Index_50_Districts!C17</x:f>
        <x:v>55.357142857142854</x:v>
      </x:c>
      <x:c r="E17" s="56" t="n">
        <x:f>Index_50_Districts!D17</x:f>
        <x:v>51.0204081632653</x:v>
      </x:c>
      <x:c r="F17" s="56" t="n">
        <x:f>Index_50_Districts!E17</x:f>
        <x:v>40.30612244897959</x:v>
      </x:c>
      <x:c r="G17" s="54" t="str">
        <x:f>Index_50_Districts!F17</x:f>
        <x:v>ปานกลาง</x:v>
      </x:c>
      <x:c r="H17" s="72" t="n">
        <x:f>Raw_Data!B17</x:f>
        <x:v>140752</x:v>
      </x:c>
      <x:c r="I17" s="72" t="n">
        <x:f>Raw_Data!C17</x:f>
        <x:v>117821</x:v>
      </x:c>
      <x:c r="J17" s="74" t="n">
        <x:f>Raw_Data!D17</x:f>
        <x:v>28.523</x:v>
      </x:c>
    </x:row>
    <x:row r="18">
      <x:c r="A18" s="54" t="str">
        <x:v>ดินแดง</x:v>
      </x:c>
      <x:c r="B18" s="54" t="str">
        <x:f>"เขต"&amp;A18</x:f>
        <x:v>เขตดินแดง</x:v>
      </x:c>
      <x:c r="C18" s="116" t="n">
        <x:f>Index_50_Districts!A18</x:f>
        <x:v>17</x:v>
      </x:c>
      <x:c r="D18" s="56" t="n">
        <x:f>Index_50_Districts!C18</x:f>
        <x:v>54.33673469387755</x:v>
      </x:c>
      <x:c r="E18" s="56" t="n">
        <x:f>Index_50_Districts!D18</x:f>
        <x:v>59.69387755102041</x:v>
      </x:c>
      <x:c r="F18" s="56" t="n">
        <x:f>Index_50_Districts!E18</x:f>
        <x:v>51.0204081632653</x:v>
      </x:c>
      <x:c r="G18" s="54" t="str">
        <x:f>Index_50_Districts!F18</x:f>
        <x:v>ปานกลาง</x:v>
      </x:c>
      <x:c r="H18" s="72" t="n">
        <x:f>Raw_Data!B18</x:f>
        <x:v>110780</x:v>
      </x:c>
      <x:c r="I18" s="72" t="n">
        <x:f>Raw_Data!C18</x:f>
        <x:v>65046</x:v>
      </x:c>
      <x:c r="J18" s="74" t="n">
        <x:f>Raw_Data!D18</x:f>
        <x:v>8.354</x:v>
      </x:c>
    </x:row>
    <x:row r="19">
      <x:c r="A19" s="54" t="str">
        <x:v>พระโขนง</x:v>
      </x:c>
      <x:c r="B19" s="54" t="str">
        <x:f>"เขต"&amp;A19</x:f>
        <x:v>เขตพระโขนง</x:v>
      </x:c>
      <x:c r="C19" s="116" t="n">
        <x:f>Index_50_Districts!A19</x:f>
        <x:v>18</x:v>
      </x:c>
      <x:c r="D19" s="56" t="n">
        <x:f>Index_50_Districts!C19</x:f>
        <x:v>53.06122448979592</x:v>
      </x:c>
      <x:c r="E19" s="56" t="n">
        <x:f>Index_50_Districts!D19</x:f>
        <x:v>54.59183673469388</x:v>
      </x:c>
      <x:c r="F19" s="56" t="n">
        <x:f>Index_50_Districts!E19</x:f>
        <x:v>48.46938775510204</x:v>
      </x:c>
      <x:c r="G19" s="54" t="str">
        <x:f>Index_50_Districts!F19</x:f>
        <x:v>ปานกลาง</x:v>
      </x:c>
      <x:c r="H19" s="72" t="n">
        <x:f>Raw_Data!B19</x:f>
        <x:v>85070</x:v>
      </x:c>
      <x:c r="I19" s="72" t="n">
        <x:f>Raw_Data!C19</x:f>
        <x:v>65282</x:v>
      </x:c>
      <x:c r="J19" s="74" t="n">
        <x:f>Raw_Data!D19</x:f>
        <x:v>13.986</x:v>
      </x:c>
    </x:row>
    <x:row r="20">
      <x:c r="A20" s="54" t="str">
        <x:v>วังทองหลาง</x:v>
      </x:c>
      <x:c r="B20" s="54" t="str">
        <x:f>"เขต"&amp;A20</x:f>
        <x:v>เขตวังทองหลาง</x:v>
      </x:c>
      <x:c r="C20" s="116" t="n">
        <x:f>Index_50_Districts!A20</x:f>
        <x:v>19</x:v>
      </x:c>
      <x:c r="D20" s="56" t="n">
        <x:f>Index_50_Districts!C20</x:f>
        <x:v>52.55102040816327</x:v>
      </x:c>
      <x:c r="E20" s="56" t="n">
        <x:f>Index_50_Districts!D20</x:f>
        <x:v>62.244897959183675</x:v>
      </x:c>
      <x:c r="F20" s="56" t="n">
        <x:f>Index_50_Districts!E20</x:f>
        <x:v>57.14285714285714</x:v>
      </x:c>
      <x:c r="G20" s="54" t="str">
        <x:f>Index_50_Districts!F20</x:f>
        <x:v>ปานกลาง</x:v>
      </x:c>
      <x:c r="H20" s="72" t="n">
        <x:f>Raw_Data!B20</x:f>
        <x:v>103056</x:v>
      </x:c>
      <x:c r="I20" s="72" t="n">
        <x:f>Raw_Data!C20</x:f>
        <x:v>65168</x:v>
      </x:c>
      <x:c r="J20" s="74" t="n">
        <x:f>Raw_Data!D20</x:f>
        <x:v>19.265</x:v>
      </x:c>
    </x:row>
    <x:row r="21">
      <x:c r="A21" s="54" t="str">
        <x:v>บางเขน</x:v>
      </x:c>
      <x:c r="B21" s="54" t="str">
        <x:f>"เขต"&amp;A21</x:f>
        <x:v>เขตบางเขน</x:v>
      </x:c>
      <x:c r="C21" s="116" t="n">
        <x:f>Index_50_Districts!A21</x:f>
        <x:v>20</x:v>
      </x:c>
      <x:c r="D21" s="56" t="n">
        <x:f>Index_50_Districts!C21</x:f>
        <x:v>52.04081632653061</x:v>
      </x:c>
      <x:c r="E21" s="56" t="n">
        <x:f>Index_50_Districts!D21</x:f>
        <x:v>42.3469387755102</x:v>
      </x:c>
      <x:c r="F21" s="56" t="n">
        <x:f>Index_50_Districts!E21</x:f>
        <x:v>38.26530612244898</x:v>
      </x:c>
      <x:c r="G21" s="54" t="str">
        <x:f>Index_50_Districts!F21</x:f>
        <x:v>ปานกลาง</x:v>
      </x:c>
      <x:c r="H21" s="72" t="n">
        <x:f>Raw_Data!B21</x:f>
        <x:v>186227</x:v>
      </x:c>
      <x:c r="I21" s="72" t="n">
        <x:f>Raw_Data!C21</x:f>
        <x:v>119489</x:v>
      </x:c>
      <x:c r="J21" s="74" t="n">
        <x:f>Raw_Data!D21</x:f>
        <x:v>42.123</x:v>
      </x:c>
    </x:row>
    <x:row r="22">
      <x:c r="A22" s="54" t="str">
        <x:v>ประเวศ</x:v>
      </x:c>
      <x:c r="B22" s="54" t="str">
        <x:f>"เขต"&amp;A22</x:f>
        <x:v>เขตประเวศ</x:v>
      </x:c>
      <x:c r="C22" s="116" t="n">
        <x:f>Index_50_Districts!A22</x:f>
        <x:v>21</x:v>
      </x:c>
      <x:c r="D22" s="56" t="n">
        <x:f>Index_50_Districts!C22</x:f>
        <x:v>51.785714285714285</x:v>
      </x:c>
      <x:c r="E22" s="56" t="n">
        <x:f>Index_50_Districts!D22</x:f>
        <x:v>49.48979591836735</x:v>
      </x:c>
      <x:c r="F22" s="56" t="n">
        <x:f>Index_50_Districts!E22</x:f>
        <x:v>45.91836734693878</x:v>
      </x:c>
      <x:c r="G22" s="54" t="str">
        <x:f>Index_50_Districts!F22</x:f>
        <x:v>ปานกลาง</x:v>
      </x:c>
      <x:c r="H22" s="72" t="n">
        <x:f>Raw_Data!B22</x:f>
        <x:v>184355</x:v>
      </x:c>
      <x:c r="I22" s="72" t="n">
        <x:f>Raw_Data!C22</x:f>
        <x:v>97910</x:v>
      </x:c>
      <x:c r="J22" s="74" t="n">
        <x:f>Raw_Data!D22</x:f>
        <x:v>52.49</x:v>
      </x:c>
    </x:row>
    <x:row r="23">
      <x:c r="A23" s="54" t="str">
        <x:v>คลองสาน</x:v>
      </x:c>
      <x:c r="B23" s="54" t="str">
        <x:f>"เขต"&amp;A23</x:f>
        <x:v>เขตคลองสาน</x:v>
      </x:c>
      <x:c r="C23" s="116" t="n">
        <x:f>Index_50_Districts!A23</x:f>
        <x:v>21</x:v>
      </x:c>
      <x:c r="D23" s="56" t="n">
        <x:f>Index_50_Districts!C23</x:f>
        <x:v>51.785714285714285</x:v>
      </x:c>
      <x:c r="E23" s="56" t="n">
        <x:f>Index_50_Districts!D23</x:f>
        <x:v>57.65306122448979</x:v>
      </x:c>
      <x:c r="F23" s="56" t="n">
        <x:f>Index_50_Districts!E23</x:f>
        <x:v>54.08163265306122</x:v>
      </x:c>
      <x:c r="G23" s="54" t="str">
        <x:f>Index_50_Districts!F23</x:f>
        <x:v>ปานกลาง</x:v>
      </x:c>
      <x:c r="H23" s="72" t="n">
        <x:f>Raw_Data!B23</x:f>
        <x:v>63357</x:v>
      </x:c>
      <x:c r="I23" s="72" t="n">
        <x:f>Raw_Data!C23</x:f>
        <x:v>42956</x:v>
      </x:c>
      <x:c r="J23" s="74" t="n">
        <x:f>Raw_Data!D23</x:f>
        <x:v>6.051</x:v>
      </x:c>
    </x:row>
    <x:row r="24">
      <x:c r="A24" s="54" t="str">
        <x:v>หลักสี่</x:v>
      </x:c>
      <x:c r="B24" s="54" t="str">
        <x:f>"เขต"&amp;A24</x:f>
        <x:v>เขตหลักสี่</x:v>
      </x:c>
      <x:c r="C24" s="116" t="n">
        <x:f>Index_50_Districts!A24</x:f>
        <x:v>23</x:v>
      </x:c>
      <x:c r="D24" s="56" t="n">
        <x:f>Index_50_Districts!C24</x:f>
        <x:v>51.530612244897966</x:v>
      </x:c>
      <x:c r="E24" s="56" t="n">
        <x:f>Index_50_Districts!D24</x:f>
        <x:v>55.61224489795919</x:v>
      </x:c>
      <x:c r="F24" s="56" t="n">
        <x:f>Index_50_Districts!E24</x:f>
        <x:v>52.55102040816326</x:v>
      </x:c>
      <x:c r="G24" s="54" t="str">
        <x:f>Index_50_Districts!F24</x:f>
        <x:v>ปานกลาง</x:v>
      </x:c>
      <x:c r="H24" s="72" t="n">
        <x:f>Raw_Data!B24</x:f>
        <x:v>98177</x:v>
      </x:c>
      <x:c r="I24" s="72" t="n">
        <x:f>Raw_Data!C24</x:f>
        <x:v>62353</x:v>
      </x:c>
      <x:c r="J24" s="74" t="n">
        <x:f>Raw_Data!D24</x:f>
        <x:v>22.841</x:v>
      </x:c>
    </x:row>
    <x:row r="25">
      <x:c r="A25" s="54" t="str">
        <x:v>สัมพันธวงศ์</x:v>
      </x:c>
      <x:c r="B25" s="54" t="str">
        <x:f>"เขต"&amp;A25</x:f>
        <x:v>เขตสัมพันธวงศ์</x:v>
      </x:c>
      <x:c r="C25" s="116" t="n">
        <x:f>Index_50_Districts!A25</x:f>
        <x:v>24</x:v>
      </x:c>
      <x:c r="D25" s="56" t="n">
        <x:f>Index_50_Districts!C25</x:f>
        <x:v>51.0204081632653</x:v>
      </x:c>
      <x:c r="E25" s="56" t="n">
        <x:f>Index_50_Districts!D25</x:f>
        <x:v>63.265306122448976</x:v>
      </x:c>
      <x:c r="F25" s="56" t="n">
        <x:f>Index_50_Districts!E25</x:f>
        <x:v>61.22448979591837</x:v>
      </x:c>
      <x:c r="G25" s="54" t="str">
        <x:f>Index_50_Districts!F25</x:f>
        <x:v>ปานกลาง</x:v>
      </x:c>
      <x:c r="H25" s="72" t="n">
        <x:f>Raw_Data!B25</x:f>
        <x:v>18845</x:v>
      </x:c>
      <x:c r="I25" s="72" t="n">
        <x:f>Raw_Data!C25</x:f>
        <x:v>13160</x:v>
      </x:c>
      <x:c r="J25" s="74" t="n">
        <x:f>Raw_Data!D25</x:f>
        <x:v>1.416</x:v>
      </x:c>
    </x:row>
    <x:row r="26">
      <x:c r="A26" s="54" t="str">
        <x:v>บางคอแหลม</x:v>
      </x:c>
      <x:c r="B26" s="54" t="str">
        <x:f>"เขต"&amp;A26</x:f>
        <x:v>เขตบางคอแหลม</x:v>
      </x:c>
      <x:c r="C26" s="116" t="n">
        <x:f>Index_50_Districts!A26</x:f>
        <x:v>25</x:v>
      </x:c>
      <x:c r="D26" s="56" t="n">
        <x:f>Index_50_Districts!C26</x:f>
        <x:v>50.765306122448976</x:v>
      </x:c>
      <x:c r="E26" s="56" t="n">
        <x:f>Index_50_Districts!D26</x:f>
        <x:v>52.551020408163254</x:v>
      </x:c>
      <x:c r="F26" s="56" t="n">
        <x:f>Index_50_Districts!E26</x:f>
        <x:v>51.02040816326531</x:v>
      </x:c>
      <x:c r="G26" s="54" t="str">
        <x:f>Index_50_Districts!F26</x:f>
        <x:v>ปานกลาง</x:v>
      </x:c>
      <x:c r="H26" s="72" t="n">
        <x:f>Raw_Data!B26</x:f>
        <x:v>76224</x:v>
      </x:c>
      <x:c r="I26" s="72" t="n">
        <x:f>Raw_Data!C26</x:f>
        <x:v>40867</x:v>
      </x:c>
      <x:c r="J26" s="74" t="n">
        <x:f>Raw_Data!D26</x:f>
        <x:v>10.921</x:v>
      </x:c>
    </x:row>
    <x:row r="27">
      <x:c r="A27" s="54" t="str">
        <x:v>บางพลัด</x:v>
      </x:c>
      <x:c r="B27" s="54" t="str">
        <x:f>"เขต"&amp;A27</x:f>
        <x:v>เขตบางพลัด</x:v>
      </x:c>
      <x:c r="C27" s="116" t="n">
        <x:f>Index_50_Districts!A27</x:f>
        <x:v>26</x:v>
      </x:c>
      <x:c r="D27" s="56" t="n">
        <x:f>Index_50_Districts!C27</x:f>
        <x:v>49.234693877551024</x:v>
      </x:c>
      <x:c r="E27" s="56" t="n">
        <x:f>Index_50_Districts!D27</x:f>
        <x:v>44.89795918367347</x:v>
      </x:c>
      <x:c r="F27" s="56" t="n">
        <x:f>Index_50_Districts!E27</x:f>
        <x:v>46.42857142857142</x:v>
      </x:c>
      <x:c r="G27" s="54" t="str">
        <x:f>Index_50_Districts!F27</x:f>
        <x:v>ปานกลาง</x:v>
      </x:c>
      <x:c r="H27" s="72" t="n">
        <x:f>Raw_Data!B27</x:f>
        <x:v>86571</x:v>
      </x:c>
      <x:c r="I27" s="72" t="n">
        <x:f>Raw_Data!C27</x:f>
        <x:v>60745</x:v>
      </x:c>
      <x:c r="J27" s="74" t="n">
        <x:f>Raw_Data!D27</x:f>
        <x:v>11.333</x:v>
      </x:c>
    </x:row>
    <x:row r="28">
      <x:c r="A28" s="54" t="str">
        <x:v>ทวีวัฒนา</x:v>
      </x:c>
      <x:c r="B28" s="54" t="str">
        <x:f>"เขต"&amp;A28</x:f>
        <x:v>เขตทวีวัฒนา</x:v>
      </x:c>
      <x:c r="C28" s="116" t="n">
        <x:f>Index_50_Districts!A28</x:f>
        <x:v>27</x:v>
      </x:c>
      <x:c r="D28" s="56" t="n">
        <x:f>Index_50_Districts!C28</x:f>
        <x:v>48.97959183673469</x:v>
      </x:c>
      <x:c r="E28" s="56" t="n">
        <x:f>Index_50_Districts!D28</x:f>
        <x:v>44.38775510204081</x:v>
      </x:c>
      <x:c r="F28" s="56" t="n">
        <x:f>Index_50_Districts!E28</x:f>
        <x:v>46.42857142857143</x:v>
      </x:c>
      <x:c r="G28" s="54" t="str">
        <x:f>Index_50_Districts!F28</x:f>
        <x:v>ปานกลาง</x:v>
      </x:c>
      <x:c r="H28" s="72" t="n">
        <x:f>Raw_Data!B28</x:f>
        <x:v>80272</x:v>
      </x:c>
      <x:c r="I28" s="72" t="n">
        <x:f>Raw_Data!C28</x:f>
        <x:v>37042</x:v>
      </x:c>
      <x:c r="J28" s="74" t="n">
        <x:f>Raw_Data!D28</x:f>
        <x:v>50.159</x:v>
      </x:c>
    </x:row>
    <x:row r="29">
      <x:c r="A29" s="54" t="str">
        <x:v>บางกอกใหญ่</x:v>
      </x:c>
      <x:c r="B29" s="54" t="str">
        <x:f>"เขต"&amp;A29</x:f>
        <x:v>เขตบางกอกใหญ่</x:v>
      </x:c>
      <x:c r="C29" s="116" t="n">
        <x:f>Index_50_Districts!A29</x:f>
        <x:v>28</x:v>
      </x:c>
      <x:c r="D29" s="56" t="n">
        <x:f>Index_50_Districts!C29</x:f>
        <x:v>47.70408163265306</x:v>
      </x:c>
      <x:c r="E29" s="56" t="n">
        <x:f>Index_50_Districts!D29</x:f>
        <x:v>37.244897959183675</x:v>
      </x:c>
      <x:c r="F29" s="56" t="n">
        <x:f>Index_50_Districts!E29</x:f>
        <x:v>41.83673469387755</x:v>
      </x:c>
      <x:c r="G29" s="54" t="str">
        <x:f>Index_50_Districts!F29</x:f>
        <x:v>ปานกลาง</x:v>
      </x:c>
      <x:c r="H29" s="72" t="n">
        <x:f>Raw_Data!B29</x:f>
        <x:v>59797</x:v>
      </x:c>
      <x:c r="I29" s="72" t="n">
        <x:f>Raw_Data!C29</x:f>
        <x:v>32954</x:v>
      </x:c>
      <x:c r="J29" s="74" t="n">
        <x:f>Raw_Data!D29</x:f>
        <x:v>6.18</x:v>
      </x:c>
    </x:row>
    <x:row r="30">
      <x:c r="A30" s="54" t="str">
        <x:v>บางซื่อ</x:v>
      </x:c>
      <x:c r="B30" s="54" t="str">
        <x:f>"เขต"&amp;A30</x:f>
        <x:v>เขตบางซื่อ</x:v>
      </x:c>
      <x:c r="C30" s="116" t="n">
        <x:f>Index_50_Districts!A30</x:f>
        <x:v>29</x:v>
      </x:c>
      <x:c r="D30" s="56" t="n">
        <x:f>Index_50_Districts!C30</x:f>
        <x:v>47.44897959183673</x:v>
      </x:c>
      <x:c r="E30" s="56" t="n">
        <x:f>Index_50_Districts!D30</x:f>
        <x:v>48.469387755102034</x:v>
      </x:c>
      <x:c r="F30" s="56" t="n">
        <x:f>Index_50_Districts!E30</x:f>
        <x:v>53.57142857142857</x:v>
      </x:c>
      <x:c r="G30" s="54" t="str">
        <x:f>Index_50_Districts!F30</x:f>
        <x:v>ปานกลาง</x:v>
      </x:c>
      <x:c r="H30" s="72" t="n">
        <x:f>Raw_Data!B30</x:f>
        <x:v>117506</x:v>
      </x:c>
      <x:c r="I30" s="72" t="n">
        <x:f>Raw_Data!C30</x:f>
        <x:v>78559</x:v>
      </x:c>
      <x:c r="J30" s="74" t="n">
        <x:f>Raw_Data!D30</x:f>
        <x:v>11.545</x:v>
      </x:c>
    </x:row>
    <x:row r="31">
      <x:c r="A31" s="54" t="str">
        <x:v>ลาดกระบัง</x:v>
      </x:c>
      <x:c r="B31" s="54" t="str">
        <x:f>"เขต"&amp;A31</x:f>
        <x:v>เขตลาดกระบัง</x:v>
      </x:c>
      <x:c r="C31" s="116" t="n">
        <x:f>Index_50_Districts!A31</x:f>
        <x:v>30</x:v>
      </x:c>
      <x:c r="D31" s="56" t="n">
        <x:f>Index_50_Districts!C31</x:f>
        <x:v>46.683673469387756</x:v>
      </x:c>
      <x:c r="E31" s="56" t="n">
        <x:f>Index_50_Districts!D31</x:f>
        <x:v>37.24489795918367</x:v>
      </x:c>
      <x:c r="F31" s="56" t="n">
        <x:f>Index_50_Districts!E31</x:f>
        <x:v>43.87755102040816</x:v>
      </x:c>
      <x:c r="G31" s="54" t="str">
        <x:f>Index_50_Districts!F31</x:f>
        <x:v>ปานกลาง</x:v>
      </x:c>
      <x:c r="H31" s="72" t="n">
        <x:f>Raw_Data!B31</x:f>
        <x:v>181253</x:v>
      </x:c>
      <x:c r="I31" s="72" t="n">
        <x:f>Raw_Data!C31</x:f>
        <x:v>108362</x:v>
      </x:c>
      <x:c r="J31" s="74" t="n">
        <x:f>Raw_Data!D31</x:f>
        <x:v>123.859</x:v>
      </x:c>
    </x:row>
    <x:row r="32">
      <x:c r="A32" s="54" t="str">
        <x:v>ธนบุรี</x:v>
      </x:c>
      <x:c r="B32" s="54" t="str">
        <x:f>"เขต"&amp;A32</x:f>
        <x:v>เขตธนบุรี</x:v>
      </x:c>
      <x:c r="C32" s="116" t="n">
        <x:f>Index_50_Districts!A32</x:f>
        <x:v>31</x:v>
      </x:c>
      <x:c r="D32" s="56" t="n">
        <x:f>Index_50_Districts!C32</x:f>
        <x:v>44.89795918367348</x:v>
      </x:c>
      <x:c r="E32" s="56" t="n">
        <x:f>Index_50_Districts!D32</x:f>
        <x:v>45.91836734693878</x:v>
      </x:c>
      <x:c r="F32" s="56" t="n">
        <x:f>Index_50_Districts!E32</x:f>
        <x:v>56.12244897959183</x:v>
      </x:c>
      <x:c r="G32" s="54" t="str">
        <x:f>Index_50_Districts!F32</x:f>
        <x:v>ปานกลาง</x:v>
      </x:c>
      <x:c r="H32" s="72" t="n">
        <x:f>Raw_Data!B32</x:f>
        <x:v>97169</x:v>
      </x:c>
      <x:c r="I32" s="72" t="n">
        <x:f>Raw_Data!C32</x:f>
        <x:v>65530</x:v>
      </x:c>
      <x:c r="J32" s="74" t="n">
        <x:f>Raw_Data!D32</x:f>
        <x:v>8.551</x:v>
      </x:c>
    </x:row>
    <x:row r="33">
      <x:c r="A33" s="54" t="str">
        <x:v>ภาษีเจริญ</x:v>
      </x:c>
      <x:c r="B33" s="54" t="str">
        <x:f>"เขต"&amp;A33</x:f>
        <x:v>เขตภาษีเจริญ</x:v>
      </x:c>
      <x:c r="C33" s="116" t="n">
        <x:f>Index_50_Districts!A33</x:f>
        <x:v>32</x:v>
      </x:c>
      <x:c r="D33" s="56" t="n">
        <x:f>Index_50_Districts!C33</x:f>
        <x:v>44.38775510204081</x:v>
      </x:c>
      <x:c r="E33" s="56" t="n">
        <x:f>Index_50_Districts!D33</x:f>
        <x:v>26.020408163265305</x:v>
      </x:c>
      <x:c r="F33" s="56" t="n">
        <x:f>Index_50_Districts!E33</x:f>
        <x:v>37.244897959183675</x:v>
      </x:c>
      <x:c r="G33" s="54" t="str">
        <x:f>Index_50_Districts!F33</x:f>
        <x:v>ปานกลาง</x:v>
      </x:c>
      <x:c r="H33" s="72" t="n">
        <x:f>Raw_Data!B33</x:f>
        <x:v>121716</x:v>
      </x:c>
      <x:c r="I33" s="72" t="n">
        <x:f>Raw_Data!C33</x:f>
        <x:v>69711</x:v>
      </x:c>
      <x:c r="J33" s="74" t="n">
        <x:f>Raw_Data!D33</x:f>
        <x:v>17.834</x:v>
      </x:c>
    </x:row>
    <x:row r="34">
      <x:c r="A34" s="54" t="str">
        <x:v>บางกอกน้อย</x:v>
      </x:c>
      <x:c r="B34" s="54" t="str">
        <x:f>"เขต"&amp;A34</x:f>
        <x:v>เขตบางกอกน้อย</x:v>
      </x:c>
      <x:c r="C34" s="116" t="n">
        <x:f>Index_50_Districts!A34</x:f>
        <x:v>33</x:v>
      </x:c>
      <x:c r="D34" s="56" t="n">
        <x:f>Index_50_Districts!C34</x:f>
        <x:v>44.13265306122449</x:v>
      </x:c>
      <x:c r="E34" s="56" t="n">
        <x:f>Index_50_Districts!D34</x:f>
        <x:v>44.38775510204081</x:v>
      </x:c>
      <x:c r="F34" s="56" t="n">
        <x:f>Index_50_Districts!E34</x:f>
        <x:v>56.12244897959184</x:v>
      </x:c>
      <x:c r="G34" s="54" t="str">
        <x:f>Index_50_Districts!F34</x:f>
        <x:v>ปานกลาง</x:v>
      </x:c>
      <x:c r="H34" s="72" t="n">
        <x:f>Raw_Data!B34</x:f>
        <x:v>97659</x:v>
      </x:c>
      <x:c r="I34" s="72" t="n">
        <x:f>Raw_Data!C34</x:f>
        <x:v>55591</x:v>
      </x:c>
      <x:c r="J34" s="74" t="n">
        <x:f>Raw_Data!D34</x:f>
        <x:v>11.944</x:v>
      </x:c>
    </x:row>
    <x:row r="35">
      <x:c r="A35" s="54" t="str">
        <x:v>บางบอน</x:v>
      </x:c>
      <x:c r="B35" s="54" t="str">
        <x:f>"เขต"&amp;A35</x:f>
        <x:v>เขตบางบอน</x:v>
      </x:c>
      <x:c r="C35" s="116" t="n">
        <x:f>Index_50_Districts!A35</x:f>
        <x:v>34</x:v>
      </x:c>
      <x:c r="D35" s="56" t="n">
        <x:f>Index_50_Districts!C35</x:f>
        <x:v>42.85714285714286</x:v>
      </x:c>
      <x:c r="E35" s="56" t="n">
        <x:f>Index_50_Districts!D35</x:f>
        <x:v>30.612244897959187</x:v>
      </x:c>
      <x:c r="F35" s="56" t="n">
        <x:f>Index_50_Districts!E35</x:f>
        <x:v>44.89795918367347</x:v>
      </x:c>
      <x:c r="G35" s="54" t="str">
        <x:f>Index_50_Districts!F35</x:f>
        <x:v>ปานกลาง</x:v>
      </x:c>
      <x:c r="H35" s="72" t="n">
        <x:f>Raw_Data!B35</x:f>
        <x:v>99168</x:v>
      </x:c>
      <x:c r="I35" s="72" t="n">
        <x:f>Raw_Data!C35</x:f>
        <x:v>53919</x:v>
      </x:c>
      <x:c r="J35" s="74" t="n">
        <x:f>Raw_Data!D35</x:f>
        <x:v>34.745</x:v>
      </x:c>
    </x:row>
    <x:row r="36">
      <x:c r="A36" s="54" t="str">
        <x:v>ตลิ่งชัน</x:v>
      </x:c>
      <x:c r="B36" s="54" t="str">
        <x:f>"เขต"&amp;A36</x:f>
        <x:v>เขตตลิ่งชัน</x:v>
      </x:c>
      <x:c r="C36" s="116" t="n">
        <x:f>Index_50_Districts!A36</x:f>
        <x:v>35</x:v>
      </x:c>
      <x:c r="D36" s="56" t="n">
        <x:f>Index_50_Districts!C36</x:f>
        <x:v>42.602040816326536</x:v>
      </x:c>
      <x:c r="E36" s="56" t="n">
        <x:f>Index_50_Districts!D36</x:f>
        <x:v>48.46938775510204</x:v>
      </x:c>
      <x:c r="F36" s="56" t="n">
        <x:f>Index_50_Districts!E36</x:f>
        <x:v>63.265306122448976</x:v>
      </x:c>
      <x:c r="G36" s="54" t="str">
        <x:f>Index_50_Districts!F36</x:f>
        <x:v>ปานกลาง</x:v>
      </x:c>
      <x:c r="H36" s="72" t="n">
        <x:f>Raw_Data!B36</x:f>
        <x:v>100887</x:v>
      </x:c>
      <x:c r="I36" s="72" t="n">
        <x:f>Raw_Data!C36</x:f>
        <x:v>45173</x:v>
      </x:c>
      <x:c r="J36" s="74" t="n">
        <x:f>Raw_Data!D36</x:f>
        <x:v>29.479</x:v>
      </x:c>
    </x:row>
    <x:row r="37">
      <x:c r="A37" s="54" t="str">
        <x:v>พระนคร</x:v>
      </x:c>
      <x:c r="B37" s="54" t="str">
        <x:f>"เขต"&amp;A37</x:f>
        <x:v>เขตพระนคร</x:v>
      </x:c>
      <x:c r="C37" s="116" t="n">
        <x:f>Index_50_Districts!A37</x:f>
        <x:v>36</x:v>
      </x:c>
      <x:c r="D37" s="56" t="n">
        <x:f>Index_50_Districts!C37</x:f>
        <x:v>42.091836734693885</x:v>
      </x:c>
      <x:c r="E37" s="56" t="n">
        <x:f>Index_50_Districts!D37</x:f>
        <x:v>46.42857142857143</x:v>
      </x:c>
      <x:c r="F37" s="56" t="n">
        <x:f>Index_50_Districts!E37</x:f>
        <x:v>62.24489795918367</x:v>
      </x:c>
      <x:c r="G37" s="54" t="str">
        <x:f>Index_50_Districts!F37</x:f>
        <x:v>ปานกลาง</x:v>
      </x:c>
      <x:c r="H37" s="72" t="n">
        <x:f>Raw_Data!B37</x:f>
        <x:v>39399</x:v>
      </x:c>
      <x:c r="I37" s="72" t="n">
        <x:f>Raw_Data!C37</x:f>
        <x:v>19016</x:v>
      </x:c>
      <x:c r="J37" s="74" t="n">
        <x:f>Raw_Data!D37</x:f>
        <x:v>5.536</x:v>
      </x:c>
    </x:row>
    <x:row r="38">
      <x:c r="A38" s="54" t="str">
        <x:v>ดอนเมือง</x:v>
      </x:c>
      <x:c r="B38" s="54" t="str">
        <x:f>"เขต"&amp;A38</x:f>
        <x:v>เขตดอนเมือง</x:v>
      </x:c>
      <x:c r="C38" s="116" t="n">
        <x:f>Index_50_Districts!A38</x:f>
        <x:v>37</x:v>
      </x:c>
      <x:c r="D38" s="56" t="n">
        <x:f>Index_50_Districts!C38</x:f>
        <x:v>42.09183673469388</x:v>
      </x:c>
      <x:c r="E38" s="56" t="n">
        <x:f>Index_50_Districts!D38</x:f>
        <x:v>30.612244897959183</x:v>
      </x:c>
      <x:c r="F38" s="56" t="n">
        <x:f>Index_50_Districts!E38</x:f>
        <x:v>46.42857142857143</x:v>
      </x:c>
      <x:c r="G38" s="54" t="str">
        <x:f>Index_50_Districts!F38</x:f>
        <x:v>ปานกลาง</x:v>
      </x:c>
      <x:c r="H38" s="72" t="n">
        <x:f>Raw_Data!B38</x:f>
        <x:v>166047</x:v>
      </x:c>
      <x:c r="I38" s="72" t="n">
        <x:f>Raw_Data!C38</x:f>
        <x:v>83308</x:v>
      </x:c>
      <x:c r="J38" s="74" t="n">
        <x:f>Raw_Data!D38</x:f>
        <x:v>36.803</x:v>
      </x:c>
    </x:row>
    <x:row r="39">
      <x:c r="A39" s="54" t="str">
        <x:v>บางขุนเทียน</x:v>
      </x:c>
      <x:c r="B39" s="54" t="str">
        <x:f>"เขต"&amp;A39</x:f>
        <x:v>เขตบางขุนเทียน</x:v>
      </x:c>
      <x:c r="C39" s="116" t="n">
        <x:f>Index_50_Districts!A39</x:f>
        <x:v>38</x:v>
      </x:c>
      <x:c r="D39" s="56" t="n">
        <x:f>Index_50_Districts!C39</x:f>
        <x:v>41.58163265306123</x:v>
      </x:c>
      <x:c r="E39" s="56" t="n">
        <x:f>Index_50_Districts!D39</x:f>
        <x:v>45.40816326530613</x:v>
      </x:c>
      <x:c r="F39" s="56" t="n">
        <x:f>Index_50_Districts!E39</x:f>
        <x:v>62.244897959183675</x:v>
      </x:c>
      <x:c r="G39" s="54" t="str">
        <x:f>Index_50_Districts!F39</x:f>
        <x:v>ปานกลาง</x:v>
      </x:c>
      <x:c r="H39" s="72" t="n">
        <x:f>Raw_Data!B39</x:f>
        <x:v>185595</x:v>
      </x:c>
      <x:c r="I39" s="72" t="n">
        <x:f>Raw_Data!C39</x:f>
        <x:v>95111</x:v>
      </x:c>
      <x:c r="J39" s="74" t="n">
        <x:f>Raw_Data!D39</x:f>
        <x:v>120.687</x:v>
      </x:c>
    </x:row>
    <x:row r="40">
      <x:c r="A40" s="54" t="str">
        <x:v>บางแค</x:v>
      </x:c>
      <x:c r="B40" s="54" t="str">
        <x:f>"เขต"&amp;A40</x:f>
        <x:v>เขตบางแค</x:v>
      </x:c>
      <x:c r="C40" s="116" t="n">
        <x:f>Index_50_Districts!A40</x:f>
        <x:v>39</x:v>
      </x:c>
      <x:c r="D40" s="56" t="n">
        <x:f>Index_50_Districts!C40</x:f>
        <x:v>41.326530612244895</x:v>
      </x:c>
      <x:c r="E40" s="56" t="n">
        <x:f>Index_50_Districts!D40</x:f>
        <x:v>39.285714285714285</x:v>
      </x:c>
      <x:c r="F40" s="56" t="n">
        <x:f>Index_50_Districts!E40</x:f>
        <x:v>56.63265306122449</x:v>
      </x:c>
      <x:c r="G40" s="54" t="str">
        <x:f>Index_50_Districts!F40</x:f>
        <x:v>ปานกลาง</x:v>
      </x:c>
      <x:c r="H40" s="72" t="n">
        <x:f>Raw_Data!B40</x:f>
        <x:v>192481</x:v>
      </x:c>
      <x:c r="I40" s="72" t="n">
        <x:f>Raw_Data!C40</x:f>
        <x:v>97890</x:v>
      </x:c>
      <x:c r="J40" s="74" t="n">
        <x:f>Raw_Data!D40</x:f>
        <x:v>44.456</x:v>
      </x:c>
    </x:row>
    <x:row r="41">
      <x:c r="A41" s="54" t="str">
        <x:v>คลองสามวา</x:v>
      </x:c>
      <x:c r="B41" s="54" t="str">
        <x:f>"เขต"&amp;A41</x:f>
        <x:v>เขตคลองสามวา</x:v>
      </x:c>
      <x:c r="C41" s="116" t="n">
        <x:f>Index_50_Districts!A41</x:f>
        <x:v>39</x:v>
      </x:c>
      <x:c r="D41" s="56" t="n">
        <x:f>Index_50_Districts!C41</x:f>
        <x:v>41.326530612244895</x:v>
      </x:c>
      <x:c r="E41" s="56" t="n">
        <x:f>Index_50_Districts!D41</x:f>
        <x:v>34.69387755102041</x:v>
      </x:c>
      <x:c r="F41" s="56" t="n">
        <x:f>Index_50_Districts!E41</x:f>
        <x:v>52.04081632653061</x:v>
      </x:c>
      <x:c r="G41" s="54" t="str">
        <x:f>Index_50_Districts!F41</x:f>
        <x:v>ปานกลาง</x:v>
      </x:c>
      <x:c r="H41" s="72" t="n">
        <x:f>Raw_Data!B41</x:f>
        <x:v>214311</x:v>
      </x:c>
      <x:c r="I41" s="72" t="n">
        <x:f>Raw_Data!C41</x:f>
        <x:v>93955</x:v>
      </x:c>
      <x:c r="J41" s="74" t="n">
        <x:f>Raw_Data!D41</x:f>
        <x:v>110.686</x:v>
      </x:c>
    </x:row>
    <x:row r="42">
      <x:c r="A42" s="54" t="str">
        <x:v>สายไหม</x:v>
      </x:c>
      <x:c r="B42" s="54" t="str">
        <x:f>"เขต"&amp;A42</x:f>
        <x:v>เขตสายไหม</x:v>
      </x:c>
      <x:c r="C42" s="116" t="n">
        <x:f>Index_50_Districts!A42</x:f>
        <x:v>41</x:v>
      </x:c>
      <x:c r="D42" s="56" t="n">
        <x:f>Index_50_Districts!C42</x:f>
        <x:v>40.30612244897959</x:v>
      </x:c>
      <x:c r="E42" s="56" t="n">
        <x:f>Index_50_Districts!D42</x:f>
        <x:v>35.714285714285715</x:v>
      </x:c>
      <x:c r="F42" s="56" t="n">
        <x:f>Index_50_Districts!E42</x:f>
        <x:v>55.10204081632653</x:v>
      </x:c>
      <x:c r="G42" s="54" t="str">
        <x:f>Index_50_Districts!F42</x:f>
        <x:v>ปานกลาง</x:v>
      </x:c>
      <x:c r="H42" s="72" t="n">
        <x:f>Raw_Data!B42</x:f>
        <x:v>212575</x:v>
      </x:c>
      <x:c r="I42" s="72" t="n">
        <x:f>Raw_Data!C42</x:f>
        <x:v>112297</x:v>
      </x:c>
      <x:c r="J42" s="74" t="n">
        <x:f>Raw_Data!D42</x:f>
        <x:v>44.615</x:v>
      </x:c>
    </x:row>
    <x:row r="43">
      <x:c r="A43" s="54" t="str">
        <x:v>ทุ่งครุ</x:v>
      </x:c>
      <x:c r="B43" s="54" t="str">
        <x:f>"เขต"&amp;A43</x:f>
        <x:v>เขตทุ่งครุ</x:v>
      </x:c>
      <x:c r="C43" s="116" t="n">
        <x:f>Index_50_Districts!A43</x:f>
        <x:v>42</x:v>
      </x:c>
      <x:c r="D43" s="56" t="n">
        <x:f>Index_50_Districts!C43</x:f>
        <x:v>39.285714285714285</x:v>
      </x:c>
      <x:c r="E43" s="56" t="n">
        <x:f>Index_50_Districts!D43</x:f>
        <x:v>31.632653061224488</x:v>
      </x:c>
      <x:c r="F43" s="56" t="n">
        <x:f>Index_50_Districts!E43</x:f>
        <x:v>53.06122448979592</x:v>
      </x:c>
      <x:c r="G43" s="54" t="str">
        <x:f>Index_50_Districts!F43</x:f>
        <x:v>ต่ำ</x:v>
      </x:c>
      <x:c r="H43" s="72" t="n">
        <x:f>Raw_Data!B43</x:f>
        <x:v>124064</x:v>
      </x:c>
      <x:c r="I43" s="72" t="n">
        <x:f>Raw_Data!C43</x:f>
        <x:v>57688</x:v>
      </x:c>
      <x:c r="J43" s="74" t="n">
        <x:f>Raw_Data!D43</x:f>
        <x:v>30.741</x:v>
      </x:c>
    </x:row>
    <x:row r="44">
      <x:c r="A44" s="54" t="str">
        <x:v>มีนบุรี</x:v>
      </x:c>
      <x:c r="B44" s="54" t="str">
        <x:f>"เขต"&amp;A44</x:f>
        <x:v>เขตมีนบุรี</x:v>
      </x:c>
      <x:c r="C44" s="116" t="n">
        <x:f>Index_50_Districts!A44</x:f>
        <x:v>43</x:v>
      </x:c>
      <x:c r="D44" s="56" t="n">
        <x:f>Index_50_Districts!C44</x:f>
        <x:v>38.01020408163265</x:v>
      </x:c>
      <x:c r="E44" s="56" t="n">
        <x:f>Index_50_Districts!D44</x:f>
        <x:v>28.06122448979592</x:v>
      </x:c>
      <x:c r="F44" s="56" t="n">
        <x:f>Index_50_Districts!E44</x:f>
        <x:v>52.04081632653061</x:v>
      </x:c>
      <x:c r="G44" s="54" t="str">
        <x:f>Index_50_Districts!F44</x:f>
        <x:v>ต่ำ</x:v>
      </x:c>
      <x:c r="H44" s="72" t="n">
        <x:f>Raw_Data!B44</x:f>
        <x:v>139427</x:v>
      </x:c>
      <x:c r="I44" s="72" t="n">
        <x:f>Raw_Data!C44</x:f>
        <x:v>66394</x:v>
      </x:c>
      <x:c r="J44" s="74" t="n">
        <x:f>Raw_Data!D44</x:f>
        <x:v>63.645</x:v>
      </x:c>
    </x:row>
    <x:row r="45">
      <x:c r="A45" s="54" t="str">
        <x:v>คันนายาว</x:v>
      </x:c>
      <x:c r="B45" s="54" t="str">
        <x:f>"เขต"&amp;A45</x:f>
        <x:v>เขตคันนายาว</x:v>
      </x:c>
      <x:c r="C45" s="116" t="n">
        <x:f>Index_50_Districts!A45</x:f>
        <x:v>43</x:v>
      </x:c>
      <x:c r="D45" s="56" t="n">
        <x:f>Index_50_Districts!C45</x:f>
        <x:v>38.01020408163265</x:v>
      </x:c>
      <x:c r="E45" s="56" t="n">
        <x:f>Index_50_Districts!D45</x:f>
        <x:v>43.87755102040816</x:v>
      </x:c>
      <x:c r="F45" s="56" t="n">
        <x:f>Index_50_Districts!E45</x:f>
        <x:v>67.85714285714286</x:v>
      </x:c>
      <x:c r="G45" s="54" t="str">
        <x:f>Index_50_Districts!F45</x:f>
        <x:v>ต่ำ</x:v>
      </x:c>
      <x:c r="H45" s="72" t="n">
        <x:f>Raw_Data!B45</x:f>
        <x:v>94194</x:v>
      </x:c>
      <x:c r="I45" s="72" t="n">
        <x:f>Raw_Data!C45</x:f>
        <x:v>48118</x:v>
      </x:c>
      <x:c r="J45" s="74" t="n">
        <x:f>Raw_Data!D45</x:f>
        <x:v>25.98</x:v>
      </x:c>
    </x:row>
    <x:row r="46">
      <x:c r="A46" s="54" t="str">
        <x:v>หนองแขม</x:v>
      </x:c>
      <x:c r="B46" s="54" t="str">
        <x:f>"เขต"&amp;A46</x:f>
        <x:v>เขตหนองแขม</x:v>
      </x:c>
      <x:c r="C46" s="116" t="n">
        <x:f>Index_50_Districts!A46</x:f>
        <x:v>45</x:v>
      </x:c>
      <x:c r="D46" s="56" t="n">
        <x:f>Index_50_Districts!C46</x:f>
        <x:v>35.96938775510204</x:v>
      </x:c>
      <x:c r="E46" s="56" t="n">
        <x:f>Index_50_Districts!D46</x:f>
        <x:v>34.69387755102041</x:v>
      </x:c>
      <x:c r="F46" s="56" t="n">
        <x:f>Index_50_Districts!E46</x:f>
        <x:v>62.755102040816325</x:v>
      </x:c>
      <x:c r="G46" s="54" t="str">
        <x:f>Index_50_Districts!F46</x:f>
        <x:v>ต่ำ</x:v>
      </x:c>
      <x:c r="H46" s="72" t="n">
        <x:f>Raw_Data!B46</x:f>
        <x:v>154956</x:v>
      </x:c>
      <x:c r="I46" s="72" t="n">
        <x:f>Raw_Data!C46</x:f>
        <x:v>66262</x:v>
      </x:c>
      <x:c r="J46" s="74" t="n">
        <x:f>Raw_Data!D46</x:f>
        <x:v>35.825</x:v>
      </x:c>
    </x:row>
    <x:row r="47">
      <x:c r="A47" s="54" t="str">
        <x:v>ราษฎร์บูรณะ</x:v>
      </x:c>
      <x:c r="B47" s="54" t="str">
        <x:f>"เขต"&amp;A47</x:f>
        <x:v>เขตราษฎร์บูรณะ</x:v>
      </x:c>
      <x:c r="C47" s="116" t="n">
        <x:f>Index_50_Districts!A47</x:f>
        <x:v>46</x:v>
      </x:c>
      <x:c r="D47" s="56" t="n">
        <x:f>Index_50_Districts!C47</x:f>
        <x:v>35.71428571428571</x:v>
      </x:c>
      <x:c r="E47" s="56" t="n">
        <x:f>Index_50_Districts!D47</x:f>
        <x:v>38.775510204081634</x:v>
      </x:c>
      <x:c r="F47" s="56" t="n">
        <x:f>Index_50_Districts!E47</x:f>
        <x:v>67.34693877551021</x:v>
      </x:c>
      <x:c r="G47" s="54" t="str">
        <x:f>Index_50_Districts!F47</x:f>
        <x:v>ต่ำ</x:v>
      </x:c>
      <x:c r="H47" s="72" t="n">
        <x:f>Raw_Data!B47</x:f>
        <x:v>74584</x:v>
      </x:c>
      <x:c r="I47" s="72" t="n">
        <x:f>Raw_Data!C47</x:f>
        <x:v>39190</x:v>
      </x:c>
      <x:c r="J47" s="74" t="n">
        <x:f>Raw_Data!D47</x:f>
        <x:v>15.782</x:v>
      </x:c>
    </x:row>
    <x:row r="48">
      <x:c r="A48" s="54" t="str">
        <x:v>จอมทอง</x:v>
      </x:c>
      <x:c r="B48" s="54" t="str">
        <x:f>"เขต"&amp;A48</x:f>
        <x:v>เขตจอมทอง</x:v>
      </x:c>
      <x:c r="C48" s="116" t="n">
        <x:f>Index_50_Districts!A48</x:f>
        <x:v>47</x:v>
      </x:c>
      <x:c r="D48" s="56" t="n">
        <x:f>Index_50_Districts!C48</x:f>
        <x:v>33.6734693877551</x:v>
      </x:c>
      <x:c r="E48" s="56" t="n">
        <x:f>Index_50_Districts!D48</x:f>
        <x:v>26.020408163265305</x:v>
      </x:c>
      <x:c r="F48" s="56" t="n">
        <x:f>Index_50_Districts!E48</x:f>
        <x:v>58.673469387755105</x:v>
      </x:c>
      <x:c r="G48" s="54" t="str">
        <x:f>Index_50_Districts!F48</x:f>
        <x:v>ต่ำ</x:v>
      </x:c>
      <x:c r="H48" s="72" t="n">
        <x:f>Raw_Data!B48</x:f>
        <x:v>141412</x:v>
      </x:c>
      <x:c r="I48" s="72" t="n">
        <x:f>Raw_Data!C48</x:f>
        <x:v>74595</x:v>
      </x:c>
      <x:c r="J48" s="74" t="n">
        <x:f>Raw_Data!D48</x:f>
        <x:v>26.265</x:v>
      </x:c>
    </x:row>
    <x:row r="49">
      <x:c r="A49" s="54" t="str">
        <x:v>ดุสิต</x:v>
      </x:c>
      <x:c r="B49" s="54" t="str">
        <x:f>"เขต"&amp;A49</x:f>
        <x:v>เขตดุสิต</x:v>
      </x:c>
      <x:c r="C49" s="116" t="n">
        <x:f>Index_50_Districts!A49</x:f>
        <x:v>48</x:v>
      </x:c>
      <x:c r="D49" s="56" t="n">
        <x:f>Index_50_Districts!C49</x:f>
        <x:v>33.163265306122454</x:v>
      </x:c>
      <x:c r="E49" s="56" t="n">
        <x:f>Index_50_Districts!D49</x:f>
        <x:v>39.795918367346935</x:v>
      </x:c>
      <x:c r="F49" s="56" t="n">
        <x:f>Index_50_Districts!E49</x:f>
        <x:v>73.46938775510203</x:v>
      </x:c>
      <x:c r="G49" s="54" t="str">
        <x:f>Index_50_Districts!F49</x:f>
        <x:v>ต่ำ</x:v>
      </x:c>
      <x:c r="H49" s="72" t="n">
        <x:f>Raw_Data!B49</x:f>
        <x:v>74977</x:v>
      </x:c>
      <x:c r="I49" s="72" t="n">
        <x:f>Raw_Data!C49</x:f>
        <x:v>32869</x:v>
      </x:c>
      <x:c r="J49" s="74" t="n">
        <x:f>Raw_Data!D49</x:f>
        <x:v>10.665</x:v>
      </x:c>
    </x:row>
    <x:row r="50">
      <x:c r="A50" s="54" t="str">
        <x:v>สะพานสูง</x:v>
      </x:c>
      <x:c r="B50" s="54" t="str">
        <x:f>"เขต"&amp;A50</x:f>
        <x:v>เขตสะพานสูง</x:v>
      </x:c>
      <x:c r="C50" s="116" t="n">
        <x:f>Index_50_Districts!A50</x:f>
        <x:v>49</x:v>
      </x:c>
      <x:c r="D50" s="56" t="n">
        <x:f>Index_50_Districts!C50</x:f>
        <x:v>32.908163265306115</x:v>
      </x:c>
      <x:c r="E50" s="56" t="n">
        <x:f>Index_50_Districts!D50</x:f>
        <x:v>52.04081632653061</x:v>
      </x:c>
      <x:c r="F50" s="56" t="n">
        <x:f>Index_50_Districts!E50</x:f>
        <x:v>86.22448979591837</x:v>
      </x:c>
      <x:c r="G50" s="54" t="str">
        <x:f>Index_50_Districts!F50</x:f>
        <x:v>ต่ำ</x:v>
      </x:c>
      <x:c r="H50" s="72" t="n">
        <x:f>Raw_Data!B50</x:f>
        <x:v>96745</x:v>
      </x:c>
      <x:c r="I50" s="72" t="n">
        <x:f>Raw_Data!C50</x:f>
        <x:v>43914</x:v>
      </x:c>
      <x:c r="J50" s="74" t="n">
        <x:f>Raw_Data!D50</x:f>
        <x:v>28.124</x:v>
      </x:c>
    </x:row>
    <x:row r="51">
      <x:c r="A51" s="54" t="str">
        <x:v>หนองจอก</x:v>
      </x:c>
      <x:c r="B51" s="54" t="str">
        <x:f>"เขต"&amp;A51</x:f>
        <x:v>เขตหนองจอก</x:v>
      </x:c>
      <x:c r="C51" s="116" t="n">
        <x:f>Index_50_Districts!A51</x:f>
        <x:v>50</x:v>
      </x:c>
      <x:c r="D51" s="56" t="n">
        <x:f>Index_50_Districts!C51</x:f>
        <x:v>29.591836734693878</x:v>
      </x:c>
      <x:c r="E51" s="56" t="n">
        <x:f>Index_50_Districts!D51</x:f>
        <x:v>14.795918367346939</x:v>
      </x:c>
      <x:c r="F51" s="56" t="n">
        <x:f>Index_50_Districts!E51</x:f>
        <x:v>55.61224489795919</x:v>
      </x:c>
      <x:c r="G51" s="54" t="str">
        <x:f>Index_50_Districts!F51</x:f>
        <x:v>ต่ำ</x:v>
      </x:c>
      <x:c r="H51" s="72" t="n">
        <x:f>Raw_Data!B51</x:f>
        <x:v>184231</x:v>
      </x:c>
      <x:c r="I51" s="72" t="n">
        <x:f>Raw_Data!C51</x:f>
        <x:v>74844</x:v>
      </x:c>
      <x:c r="J51" s="74" t="n">
        <x:f>Raw_Data!D51</x:f>
        <x:v>236.261</x:v>
      </x:c>
    </x:row>
    <x:row r="54">
      <x:c r="A54" s="121" t="str">
        <x:v>Join recommendation: ใช้ district_join_name (เช่น เขตคลองเตย) เชื่อมกับชั้นขอบเขต 50 เขตของ BMA GIS; ตรวจสอบ encoding UTF-8 และชื่อเขตก่อน Join</x:v>
      </x:c>
      <x:c r="B54" s="121"/>
      <x:c r="C54" s="121"/>
      <x:c r="D54" s="121"/>
      <x:c r="E54" s="121"/>
      <x:c r="F54" s="121"/>
      <x:c r="G54" s="121"/>
      <x:c r="H54" s="121"/>
      <x:c r="I54" s="121"/>
      <x:c r="J54" s="121"/>
    </x:row>
    <x:row r="55">
      <x:c r="A55" s="121"/>
      <x:c r="B55" s="121"/>
      <x:c r="C55" s="121"/>
      <x:c r="D55" s="121"/>
      <x:c r="E55" s="121"/>
      <x:c r="F55" s="121"/>
      <x:c r="G55" s="121"/>
      <x:c r="H55" s="121"/>
      <x:c r="I55" s="121"/>
      <x:c r="J55" s="121"/>
    </x:row>
  </x:sheetData>
  <x:mergeCells>
    <x:mergeCell ref="A54:J55"/>
  </x:mergeCells>
  <x:pageMargins left="0.7" right="0.7" top="0.75" bottom="0.75" header="0.3" footer="0.3"/>
  <x:tableParts count="1">
    <x:tablePart xmlns:r="http://schemas.openxmlformats.org/officeDocument/2006/relationships" r:id="R8f4ebce32b3144a3"/>
  </x:tableParts>
</x:worksheet>
</file>